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frelotraders-my.sharepoint.com/personal/joylorna_frelotraders_onmicrosoft_com/Documents/Documents/11 portfolio projects/project 1/"/>
    </mc:Choice>
  </mc:AlternateContent>
  <xr:revisionPtr revIDLastSave="9275" documentId="8_{C41C9410-9FF0-4080-8E72-8DF7CB816423}" xr6:coauthVersionLast="47" xr6:coauthVersionMax="47" xr10:uidLastSave="{63F92997-4CB0-4EE4-AFA8-3224F475A505}"/>
  <bookViews>
    <workbookView xWindow="-110" yWindow="-110" windowWidth="19420" windowHeight="10300" firstSheet="21" activeTab="23" xr2:uid="{3BAD7F35-2EDE-4988-BF03-F2C9C5EB9D77}"/>
  </bookViews>
  <sheets>
    <sheet name="📌 COVER" sheetId="1" r:id="rId1"/>
    <sheet name="🔎WORKBOOK SHEET MAP" sheetId="15" r:id="rId2"/>
    <sheet name="📊 EXECUTIVE_SUMMARY" sheetId="2" r:id="rId3"/>
    <sheet name="📝 ANALYST_NOTE" sheetId="18" r:id="rId4"/>
    <sheet name="📄 INCOME_STATEMENT" sheetId="3" r:id="rId5"/>
    <sheet name="🏦 BALANCE_SHEET" sheetId="4" r:id="rId6"/>
    <sheet name="💰 CASH_FLOW" sheetId="5" r:id="rId7"/>
    <sheet name="🧮VARIANCE BRIDGE" sheetId="16" r:id="rId8"/>
    <sheet name="📈 RATIOS_PROFITABILITY" sheetId="6" r:id="rId9"/>
    <sheet name="📈 RATIOS_LIQUIDITY" sheetId="7" r:id="rId10"/>
    <sheet name="📈 RATIOS_CAPITAL" sheetId="8" r:id="rId11"/>
    <sheet name="📈 RATIOS_ASSET_QUALITY" sheetId="9" r:id="rId12"/>
    <sheet name="📈 RATIOS_EFFICIENCY" sheetId="10" r:id="rId13"/>
    <sheet name="📉 TRENDS_CHARTS" sheetId="11" r:id="rId14"/>
    <sheet name="💧 WATERFALL_NET_INCOME" sheetId="12" r:id="rId15"/>
    <sheet name="🔗CHART_SOURCE" sheetId="17" r:id="rId16"/>
    <sheet name="🔍 CHECKS" sheetId="14" r:id="rId17"/>
    <sheet name="SOURCE_REGISTER" sheetId="19" r:id="rId18"/>
    <sheet name="IFRS17_RESTATEMENT_NOTE" sheetId="20" r:id="rId19"/>
    <sheet name="RATIO_DICTIONARY" sheetId="21" r:id="rId20"/>
    <sheet name="DATA_DICTIONARY" sheetId="22" r:id="rId21"/>
    <sheet name="BENCHMARKS" sheetId="23" r:id="rId22"/>
    <sheet name="WORKBOOK_METHODOLOGY" sheetId="24" r:id="rId23"/>
    <sheet name="ANALYTICAL_INPUTS" sheetId="25" r:id="rId24"/>
  </sheets>
  <definedNames>
    <definedName name="_xlchart.v1.0" hidden="1">🔗CHART_SOURCE!$H$33</definedName>
    <definedName name="_xlchart.v1.1" hidden="1">🔗CHART_SOURCE!$H$34:$H$58</definedName>
    <definedName name="_xlchart.v1.10" hidden="1">🔗CHART_SOURCE!$H$34:$H$52</definedName>
    <definedName name="_xlchart.v1.2" hidden="1">🔗CHART_SOURCE!$G$34:$G$58</definedName>
    <definedName name="_xlchart.v1.3" hidden="1">🔗CHART_SOURCE!$H$33</definedName>
    <definedName name="_xlchart.v1.4" hidden="1">🔗CHART_SOURCE!$H$34:$H$58</definedName>
    <definedName name="_xlchart.v1.5" hidden="1">🔗CHART_SOURCE!$G$34:$G$58</definedName>
    <definedName name="_xlchart.v1.6" hidden="1">🔗CHART_SOURCE!$H$33</definedName>
    <definedName name="_xlchart.v1.7" hidden="1">🔗CHART_SOURCE!$H$34:$H$58</definedName>
    <definedName name="_xlchart.v1.8" hidden="1">🔗CHART_SOURCE!$G$34:$G$52</definedName>
    <definedName name="_xlchart.v1.9" hidden="1">🔗CHART_SOURCE!$H$33</definedName>
    <definedName name="_xlnm.Print_Area" localSheetId="3">'📝 ANALYST_NOTE'!$A$1:$H$93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8" i="14" l="1"/>
  <c r="F28" i="14" s="1"/>
  <c r="F11" i="14"/>
  <c r="F12" i="14"/>
  <c r="F13" i="14"/>
  <c r="D11" i="14"/>
  <c r="D12" i="14"/>
  <c r="D13" i="14"/>
  <c r="E61" i="5"/>
  <c r="F61" i="5"/>
  <c r="E60" i="5"/>
  <c r="F60" i="5"/>
  <c r="B61" i="5"/>
  <c r="C61" i="5"/>
  <c r="D61" i="5"/>
  <c r="B57" i="5"/>
  <c r="C57" i="5"/>
  <c r="D57" i="5"/>
  <c r="E45" i="5"/>
  <c r="F45" i="5"/>
  <c r="E46" i="5"/>
  <c r="F46" i="5"/>
  <c r="E47" i="5"/>
  <c r="F47" i="5"/>
  <c r="E48" i="5"/>
  <c r="F48" i="5"/>
  <c r="B49" i="5"/>
  <c r="C49" i="5"/>
  <c r="D49" i="5"/>
  <c r="B47" i="5"/>
  <c r="C47" i="5"/>
  <c r="D47" i="5"/>
  <c r="B46" i="5"/>
  <c r="C46" i="5"/>
  <c r="D46" i="5"/>
  <c r="B28" i="17"/>
  <c r="C28" i="17"/>
  <c r="D28" i="17"/>
  <c r="B24" i="17"/>
  <c r="C24" i="17"/>
  <c r="D24" i="17"/>
  <c r="B23" i="17"/>
  <c r="C23" i="17"/>
  <c r="D23" i="17"/>
  <c r="B22" i="17"/>
  <c r="C22" i="17"/>
  <c r="D22" i="17"/>
  <c r="C50" i="2"/>
  <c r="D29" i="14"/>
  <c r="E13" i="18"/>
  <c r="D15" i="14"/>
  <c r="D14" i="14"/>
  <c r="C35" i="14"/>
  <c r="M58" i="17"/>
  <c r="L58" i="17"/>
  <c r="K58" i="17"/>
  <c r="N57" i="17"/>
  <c r="N56" i="17"/>
  <c r="N55" i="17"/>
  <c r="N54" i="17"/>
  <c r="N53" i="17"/>
  <c r="N52" i="17"/>
  <c r="N51" i="17"/>
  <c r="N50" i="17"/>
  <c r="N49" i="17"/>
  <c r="N48" i="17"/>
  <c r="N47" i="17"/>
  <c r="M46" i="17"/>
  <c r="L46" i="17"/>
  <c r="K46" i="17"/>
  <c r="N45" i="17"/>
  <c r="N44" i="17"/>
  <c r="N43" i="17"/>
  <c r="N42" i="17"/>
  <c r="N41" i="17"/>
  <c r="N40" i="17"/>
  <c r="N39" i="17"/>
  <c r="N38" i="17"/>
  <c r="N37" i="17"/>
  <c r="N36" i="17"/>
  <c r="N35" i="17"/>
  <c r="M34" i="17"/>
  <c r="L34" i="17"/>
  <c r="K34" i="17"/>
  <c r="H39" i="17"/>
  <c r="M39" i="17" s="1"/>
  <c r="H46" i="17"/>
  <c r="N46" i="17" s="1"/>
  <c r="H54" i="17"/>
  <c r="M54" i="17" s="1"/>
  <c r="G34" i="17"/>
  <c r="G35" i="17"/>
  <c r="G36" i="17"/>
  <c r="G37" i="17"/>
  <c r="G38" i="17"/>
  <c r="G39" i="17"/>
  <c r="G40" i="17"/>
  <c r="G41" i="17"/>
  <c r="G42" i="17"/>
  <c r="G43" i="17"/>
  <c r="G44" i="17"/>
  <c r="G45" i="17"/>
  <c r="G46" i="17"/>
  <c r="G47" i="17"/>
  <c r="G48" i="17"/>
  <c r="G49" i="17"/>
  <c r="G50" i="17"/>
  <c r="G51" i="17"/>
  <c r="G52" i="17"/>
  <c r="G53" i="17"/>
  <c r="G54" i="17"/>
  <c r="G55" i="17"/>
  <c r="G56" i="17"/>
  <c r="G57" i="17"/>
  <c r="G58" i="17"/>
  <c r="B8" i="17"/>
  <c r="C8" i="17"/>
  <c r="D8" i="17"/>
  <c r="F46" i="12"/>
  <c r="F58" i="12"/>
  <c r="D50" i="12"/>
  <c r="F50" i="12" s="1"/>
  <c r="D51" i="12"/>
  <c r="F51" i="12" s="1"/>
  <c r="D54" i="12"/>
  <c r="F54" i="12" s="1"/>
  <c r="B58" i="12"/>
  <c r="H58" i="17" s="1"/>
  <c r="C58" i="12"/>
  <c r="B47" i="12"/>
  <c r="D45" i="17" s="1"/>
  <c r="B48" i="12"/>
  <c r="H48" i="17" s="1"/>
  <c r="B49" i="12"/>
  <c r="H49" i="17" s="1"/>
  <c r="B50" i="12"/>
  <c r="H50" i="17" s="1"/>
  <c r="B51" i="12"/>
  <c r="H51" i="17" s="1"/>
  <c r="B52" i="12"/>
  <c r="D52" i="12" s="1"/>
  <c r="F52" i="12" s="1"/>
  <c r="B53" i="12"/>
  <c r="D53" i="12" s="1"/>
  <c r="F53" i="12" s="1"/>
  <c r="B54" i="12"/>
  <c r="D52" i="17" s="1"/>
  <c r="B55" i="12"/>
  <c r="H55" i="17" s="1"/>
  <c r="B56" i="12"/>
  <c r="H56" i="17" s="1"/>
  <c r="B46" i="12"/>
  <c r="C46" i="12" s="1"/>
  <c r="F43" i="12"/>
  <c r="D32" i="12"/>
  <c r="F32" i="12" s="1"/>
  <c r="D38" i="12"/>
  <c r="F38" i="12" s="1"/>
  <c r="D39" i="12"/>
  <c r="F39" i="12" s="1"/>
  <c r="D40" i="12"/>
  <c r="F40" i="12" s="1"/>
  <c r="B43" i="12"/>
  <c r="C43" i="12" s="1"/>
  <c r="B32" i="12"/>
  <c r="H35" i="17" s="1"/>
  <c r="B33" i="12"/>
  <c r="D33" i="12" s="1"/>
  <c r="F33" i="12" s="1"/>
  <c r="B34" i="12"/>
  <c r="D34" i="12" s="1"/>
  <c r="F34" i="12" s="1"/>
  <c r="B35" i="12"/>
  <c r="D35" i="12" s="1"/>
  <c r="F35" i="12" s="1"/>
  <c r="B36" i="12"/>
  <c r="D36" i="12" s="1"/>
  <c r="F36" i="12" s="1"/>
  <c r="B37" i="12"/>
  <c r="D40" i="17" s="1"/>
  <c r="B38" i="12"/>
  <c r="H41" i="17" s="1"/>
  <c r="B39" i="12"/>
  <c r="H42" i="17" s="1"/>
  <c r="B40" i="12"/>
  <c r="H43" i="17" s="1"/>
  <c r="B41" i="12"/>
  <c r="D41" i="12" s="1"/>
  <c r="F41" i="12" s="1"/>
  <c r="B31" i="12"/>
  <c r="C31" i="12" s="1"/>
  <c r="C32" i="12" s="1"/>
  <c r="C33" i="12" s="1"/>
  <c r="C34" i="12" s="1"/>
  <c r="C35" i="12" s="1"/>
  <c r="C36" i="12" s="1"/>
  <c r="C37" i="12" s="1"/>
  <c r="C38" i="12" s="1"/>
  <c r="C39" i="12" s="1"/>
  <c r="C40" i="12" s="1"/>
  <c r="C41" i="12" s="1"/>
  <c r="D26" i="16"/>
  <c r="D27" i="16"/>
  <c r="D28" i="16"/>
  <c r="D29" i="16"/>
  <c r="D30" i="16"/>
  <c r="D31" i="16"/>
  <c r="D32" i="16"/>
  <c r="D33" i="16"/>
  <c r="D34" i="16"/>
  <c r="D35" i="16"/>
  <c r="B37" i="16"/>
  <c r="C37" i="16" s="1"/>
  <c r="B36" i="16"/>
  <c r="D36" i="16" s="1"/>
  <c r="C26" i="16"/>
  <c r="C27" i="16" s="1"/>
  <c r="C28" i="16" s="1"/>
  <c r="C29" i="16" s="1"/>
  <c r="C30" i="16" s="1"/>
  <c r="C31" i="16" s="1"/>
  <c r="C32" i="16" s="1"/>
  <c r="C33" i="16" s="1"/>
  <c r="C34" i="16" s="1"/>
  <c r="C35" i="16" s="1"/>
  <c r="C36" i="16" s="1"/>
  <c r="B38" i="16" s="1"/>
  <c r="C38" i="16" s="1"/>
  <c r="B26" i="16"/>
  <c r="B27" i="16"/>
  <c r="B28" i="16"/>
  <c r="B29" i="16"/>
  <c r="B30" i="16"/>
  <c r="B31" i="16"/>
  <c r="B32" i="16"/>
  <c r="B33" i="16"/>
  <c r="B34" i="16"/>
  <c r="B35" i="16"/>
  <c r="B25" i="16"/>
  <c r="C25" i="16"/>
  <c r="D9" i="16"/>
  <c r="D10" i="16"/>
  <c r="D11" i="16"/>
  <c r="D12" i="16"/>
  <c r="D13" i="16"/>
  <c r="D14" i="16"/>
  <c r="D15" i="16"/>
  <c r="D16" i="16"/>
  <c r="D17" i="16"/>
  <c r="D18" i="16"/>
  <c r="B20" i="16"/>
  <c r="C20" i="16" s="1"/>
  <c r="B19" i="16"/>
  <c r="D19" i="16" s="1"/>
  <c r="C9" i="16"/>
  <c r="C10" i="16" s="1"/>
  <c r="C11" i="16" s="1"/>
  <c r="C12" i="16" s="1"/>
  <c r="C13" i="16" s="1"/>
  <c r="C14" i="16" s="1"/>
  <c r="C15" i="16" s="1"/>
  <c r="C16" i="16" s="1"/>
  <c r="C17" i="16" s="1"/>
  <c r="C18" i="16" s="1"/>
  <c r="C19" i="16" s="1"/>
  <c r="B21" i="16" s="1"/>
  <c r="C21" i="16" s="1"/>
  <c r="B9" i="16"/>
  <c r="B10" i="16"/>
  <c r="B11" i="16"/>
  <c r="B12" i="16"/>
  <c r="B13" i="16"/>
  <c r="B14" i="16"/>
  <c r="B15" i="16"/>
  <c r="B16" i="16"/>
  <c r="B17" i="16"/>
  <c r="B18" i="16"/>
  <c r="B8" i="16"/>
  <c r="C8" i="16"/>
  <c r="B18" i="2"/>
  <c r="C18" i="2"/>
  <c r="D18" i="2"/>
  <c r="B17" i="2"/>
  <c r="C17" i="2"/>
  <c r="D17" i="2"/>
  <c r="B16" i="2"/>
  <c r="C16" i="2"/>
  <c r="D16" i="2"/>
  <c r="C10" i="9"/>
  <c r="D10" i="9"/>
  <c r="E10" i="9"/>
  <c r="E16" i="6"/>
  <c r="C15" i="6"/>
  <c r="D15" i="6"/>
  <c r="C26" i="2" s="1"/>
  <c r="E15" i="6"/>
  <c r="C14" i="6"/>
  <c r="D14" i="6"/>
  <c r="E14" i="6"/>
  <c r="C8" i="6"/>
  <c r="D8" i="6"/>
  <c r="E8" i="6"/>
  <c r="C9" i="6"/>
  <c r="D9" i="6"/>
  <c r="E9" i="6"/>
  <c r="C10" i="6"/>
  <c r="D10" i="6"/>
  <c r="E10" i="6"/>
  <c r="C11" i="6"/>
  <c r="D11" i="6"/>
  <c r="C24" i="2" s="1"/>
  <c r="E11" i="6"/>
  <c r="D24" i="2" s="1"/>
  <c r="E27" i="3"/>
  <c r="F27" i="3"/>
  <c r="E28" i="3"/>
  <c r="F28" i="3"/>
  <c r="B29" i="3"/>
  <c r="C29" i="3"/>
  <c r="E29" i="3" s="1"/>
  <c r="D29" i="3"/>
  <c r="F29" i="3" s="1"/>
  <c r="E7" i="20"/>
  <c r="E8" i="20"/>
  <c r="E9" i="20"/>
  <c r="E10" i="20"/>
  <c r="D10" i="20"/>
  <c r="D7" i="20"/>
  <c r="J30" i="14"/>
  <c r="J29" i="14"/>
  <c r="J28" i="14"/>
  <c r="F29" i="14"/>
  <c r="J27" i="14"/>
  <c r="J26" i="14"/>
  <c r="J25" i="14"/>
  <c r="J24" i="14"/>
  <c r="J23" i="14"/>
  <c r="J22" i="14"/>
  <c r="J21" i="14"/>
  <c r="J20" i="14"/>
  <c r="J19" i="14"/>
  <c r="J18" i="14"/>
  <c r="J17" i="14"/>
  <c r="J16" i="14"/>
  <c r="J15" i="14"/>
  <c r="J14" i="14"/>
  <c r="J13" i="14"/>
  <c r="J12" i="14"/>
  <c r="J11" i="14"/>
  <c r="J10" i="14"/>
  <c r="J9" i="14"/>
  <c r="J8" i="14"/>
  <c r="D20" i="14"/>
  <c r="F20" i="14" s="1"/>
  <c r="C10" i="1"/>
  <c r="D9" i="20"/>
  <c r="D8" i="20"/>
  <c r="E11" i="5"/>
  <c r="B21" i="18"/>
  <c r="C21" i="18"/>
  <c r="D21" i="18"/>
  <c r="B18" i="18"/>
  <c r="C18" i="18"/>
  <c r="D18" i="18"/>
  <c r="B20" i="18"/>
  <c r="C20" i="18"/>
  <c r="D20" i="18"/>
  <c r="B19" i="18"/>
  <c r="C19" i="18"/>
  <c r="D19" i="18"/>
  <c r="B17" i="18"/>
  <c r="C17" i="18"/>
  <c r="D17" i="18"/>
  <c r="B12" i="18"/>
  <c r="C12" i="18"/>
  <c r="D12" i="18"/>
  <c r="B46" i="2"/>
  <c r="B33" i="2"/>
  <c r="C33" i="2"/>
  <c r="D33" i="2"/>
  <c r="B44" i="2"/>
  <c r="C44" i="2"/>
  <c r="D44" i="2"/>
  <c r="B43" i="2"/>
  <c r="C43" i="2"/>
  <c r="D43" i="2"/>
  <c r="B42" i="2"/>
  <c r="C42" i="2"/>
  <c r="D42" i="2"/>
  <c r="B40" i="2"/>
  <c r="C40" i="2"/>
  <c r="D40" i="2"/>
  <c r="B39" i="2"/>
  <c r="C39" i="2"/>
  <c r="D39" i="2"/>
  <c r="B36" i="2"/>
  <c r="C36" i="2"/>
  <c r="D36" i="2"/>
  <c r="B35" i="2"/>
  <c r="C35" i="2"/>
  <c r="D35" i="2"/>
  <c r="B34" i="2"/>
  <c r="C34" i="2"/>
  <c r="D34" i="2"/>
  <c r="B32" i="2"/>
  <c r="C32" i="2"/>
  <c r="D32" i="2"/>
  <c r="B31" i="2"/>
  <c r="C31" i="2"/>
  <c r="D31" i="2"/>
  <c r="B30" i="2"/>
  <c r="C30" i="2"/>
  <c r="D30" i="2"/>
  <c r="B29" i="2"/>
  <c r="C29" i="2"/>
  <c r="D29" i="2"/>
  <c r="D8" i="14"/>
  <c r="F8" i="14" s="1"/>
  <c r="D9" i="14"/>
  <c r="F9" i="14" s="1"/>
  <c r="D10" i="14"/>
  <c r="F10" i="14" s="1"/>
  <c r="D21" i="14"/>
  <c r="F21" i="14" s="1"/>
  <c r="D22" i="14"/>
  <c r="F22" i="14" s="1"/>
  <c r="D23" i="14"/>
  <c r="F23" i="14" s="1"/>
  <c r="D24" i="14"/>
  <c r="F24" i="14" s="1"/>
  <c r="B54" i="17"/>
  <c r="C54" i="17"/>
  <c r="D54" i="17"/>
  <c r="E53" i="17"/>
  <c r="E52" i="17"/>
  <c r="E51" i="17"/>
  <c r="E50" i="17"/>
  <c r="E49" i="17"/>
  <c r="E48" i="17"/>
  <c r="E47" i="17"/>
  <c r="E46" i="17"/>
  <c r="E45" i="17"/>
  <c r="B44" i="17"/>
  <c r="C44" i="17"/>
  <c r="D44" i="17"/>
  <c r="E43" i="17"/>
  <c r="E42" i="17"/>
  <c r="E41" i="17"/>
  <c r="E40" i="17"/>
  <c r="E39" i="17"/>
  <c r="E38" i="17"/>
  <c r="E37" i="17"/>
  <c r="E36" i="17"/>
  <c r="E35" i="17"/>
  <c r="B34" i="17"/>
  <c r="C34" i="17"/>
  <c r="D34" i="17"/>
  <c r="C47" i="17"/>
  <c r="D41" i="17"/>
  <c r="B17" i="17"/>
  <c r="C17" i="17"/>
  <c r="D17" i="17"/>
  <c r="B7" i="17"/>
  <c r="C7" i="17"/>
  <c r="D7" i="17"/>
  <c r="B20" i="10"/>
  <c r="B19" i="10"/>
  <c r="D10" i="10"/>
  <c r="E10" i="10"/>
  <c r="E23" i="9"/>
  <c r="F23" i="9"/>
  <c r="E22" i="9"/>
  <c r="F22" i="9"/>
  <c r="E21" i="9"/>
  <c r="F21" i="9"/>
  <c r="E20" i="9"/>
  <c r="F20" i="9"/>
  <c r="B20" i="9"/>
  <c r="C20" i="9"/>
  <c r="D20" i="9"/>
  <c r="B21" i="9"/>
  <c r="C21" i="9"/>
  <c r="D21" i="9"/>
  <c r="B22" i="9"/>
  <c r="C22" i="9"/>
  <c r="D22" i="9"/>
  <c r="B23" i="9"/>
  <c r="C23" i="9"/>
  <c r="D23" i="9"/>
  <c r="C11" i="9"/>
  <c r="B41" i="2" s="1"/>
  <c r="D11" i="9"/>
  <c r="E11" i="9"/>
  <c r="E30" i="8"/>
  <c r="E31" i="8"/>
  <c r="E32" i="8"/>
  <c r="D30" i="8"/>
  <c r="D31" i="8"/>
  <c r="D32" i="8"/>
  <c r="B30" i="8"/>
  <c r="B31" i="8"/>
  <c r="B32" i="8"/>
  <c r="E24" i="8"/>
  <c r="F24" i="8"/>
  <c r="E23" i="8"/>
  <c r="F23" i="8"/>
  <c r="E22" i="8"/>
  <c r="F22" i="8"/>
  <c r="E21" i="8"/>
  <c r="F21" i="8"/>
  <c r="E20" i="8"/>
  <c r="F20" i="8"/>
  <c r="B20" i="8"/>
  <c r="C20" i="8"/>
  <c r="D20" i="8"/>
  <c r="E19" i="8"/>
  <c r="F19" i="8"/>
  <c r="E18" i="8"/>
  <c r="F18" i="8"/>
  <c r="E17" i="8"/>
  <c r="F17" i="8"/>
  <c r="E16" i="8"/>
  <c r="F16" i="8"/>
  <c r="D12" i="7"/>
  <c r="E12" i="7"/>
  <c r="C11" i="7"/>
  <c r="D11" i="7"/>
  <c r="E11" i="7"/>
  <c r="B26" i="2"/>
  <c r="D26" i="2"/>
  <c r="D13" i="6"/>
  <c r="E13" i="6"/>
  <c r="D12" i="6"/>
  <c r="E12" i="6"/>
  <c r="B24" i="2"/>
  <c r="B48" i="16"/>
  <c r="C48" i="16"/>
  <c r="F48" i="16"/>
  <c r="G48" i="16"/>
  <c r="B47" i="16"/>
  <c r="F47" i="16"/>
  <c r="B46" i="16"/>
  <c r="C46" i="16"/>
  <c r="F46" i="16"/>
  <c r="B45" i="16"/>
  <c r="C45" i="16"/>
  <c r="D45" i="16" s="1"/>
  <c r="F45" i="16"/>
  <c r="G45" i="16"/>
  <c r="H45" i="16" s="1"/>
  <c r="B44" i="16"/>
  <c r="D44" i="16" s="1"/>
  <c r="C44" i="16"/>
  <c r="F44" i="16"/>
  <c r="G44" i="16"/>
  <c r="H44" i="16" s="1"/>
  <c r="B43" i="16"/>
  <c r="C43" i="16"/>
  <c r="D43" i="16" s="1"/>
  <c r="F43" i="16"/>
  <c r="G43" i="16"/>
  <c r="H43" i="16" s="1"/>
  <c r="I43" i="16"/>
  <c r="B42" i="16"/>
  <c r="C42" i="16"/>
  <c r="D42" i="16" s="1"/>
  <c r="F42" i="16"/>
  <c r="G42" i="16"/>
  <c r="B68" i="4"/>
  <c r="C68" i="4"/>
  <c r="D68" i="4"/>
  <c r="F67" i="4"/>
  <c r="E67" i="4"/>
  <c r="F66" i="4"/>
  <c r="E66" i="4"/>
  <c r="F64" i="4"/>
  <c r="E64" i="4"/>
  <c r="F63" i="4"/>
  <c r="E63" i="4"/>
  <c r="F62" i="4"/>
  <c r="E62" i="4"/>
  <c r="F61" i="4"/>
  <c r="E61" i="4"/>
  <c r="F60" i="4"/>
  <c r="E60" i="4"/>
  <c r="F59" i="4"/>
  <c r="E59" i="4"/>
  <c r="B15" i="2"/>
  <c r="C15" i="2"/>
  <c r="B14" i="2"/>
  <c r="C14" i="2"/>
  <c r="D14" i="2"/>
  <c r="B13" i="2"/>
  <c r="C13" i="2"/>
  <c r="D13" i="2"/>
  <c r="B12" i="2"/>
  <c r="C12" i="2"/>
  <c r="D12" i="2"/>
  <c r="C39" i="5"/>
  <c r="D39" i="5"/>
  <c r="B39" i="5"/>
  <c r="E27" i="5"/>
  <c r="D33" i="5"/>
  <c r="C33" i="5"/>
  <c r="B33" i="5"/>
  <c r="F40" i="5"/>
  <c r="F41" i="5"/>
  <c r="E40" i="5"/>
  <c r="E41" i="5"/>
  <c r="E37" i="5"/>
  <c r="F37" i="5"/>
  <c r="F36" i="5"/>
  <c r="E36" i="5"/>
  <c r="E31" i="5"/>
  <c r="F31" i="5"/>
  <c r="F30" i="5"/>
  <c r="E30" i="5"/>
  <c r="F20" i="5"/>
  <c r="F21" i="5"/>
  <c r="F22" i="5"/>
  <c r="F23" i="5"/>
  <c r="F24" i="5"/>
  <c r="E20" i="5"/>
  <c r="E21" i="5"/>
  <c r="E22" i="5"/>
  <c r="E23" i="5"/>
  <c r="E24" i="5"/>
  <c r="E45" i="4"/>
  <c r="F45" i="4"/>
  <c r="E46" i="4"/>
  <c r="F46" i="4"/>
  <c r="E47" i="4"/>
  <c r="F47" i="4"/>
  <c r="E48" i="4"/>
  <c r="F48" i="4"/>
  <c r="E49" i="4"/>
  <c r="F49" i="4"/>
  <c r="E50" i="4"/>
  <c r="F50" i="4"/>
  <c r="E51" i="4"/>
  <c r="F51" i="4"/>
  <c r="E52" i="4"/>
  <c r="F52" i="4"/>
  <c r="E53" i="4"/>
  <c r="F53" i="4"/>
  <c r="F44" i="4"/>
  <c r="E44" i="4"/>
  <c r="F39" i="4"/>
  <c r="F40" i="4"/>
  <c r="F41" i="4"/>
  <c r="F42" i="4"/>
  <c r="F38" i="4"/>
  <c r="E39" i="4"/>
  <c r="E40" i="4"/>
  <c r="E41" i="4"/>
  <c r="E42" i="4"/>
  <c r="F36" i="4"/>
  <c r="E38" i="4"/>
  <c r="E36" i="4"/>
  <c r="F19" i="4"/>
  <c r="F20" i="4"/>
  <c r="F21" i="4"/>
  <c r="F22" i="4"/>
  <c r="F23" i="4"/>
  <c r="F24" i="4"/>
  <c r="F25" i="4"/>
  <c r="F26" i="4"/>
  <c r="F27" i="4"/>
  <c r="F28" i="4"/>
  <c r="F29" i="4"/>
  <c r="E19" i="4"/>
  <c r="E20" i="4"/>
  <c r="E21" i="4"/>
  <c r="E22" i="4"/>
  <c r="E23" i="4"/>
  <c r="E24" i="4"/>
  <c r="E25" i="4"/>
  <c r="E26" i="4"/>
  <c r="E27" i="4"/>
  <c r="E28" i="4"/>
  <c r="E29" i="4"/>
  <c r="E16" i="4"/>
  <c r="F16" i="4"/>
  <c r="E17" i="4"/>
  <c r="F17" i="4"/>
  <c r="F55" i="4"/>
  <c r="E55" i="4"/>
  <c r="F31" i="4"/>
  <c r="E31" i="4"/>
  <c r="E11" i="4"/>
  <c r="F11" i="4"/>
  <c r="E12" i="4"/>
  <c r="F12" i="4"/>
  <c r="E13" i="4"/>
  <c r="F13" i="4"/>
  <c r="E14" i="4"/>
  <c r="F14" i="4"/>
  <c r="F9" i="4"/>
  <c r="E9" i="4"/>
  <c r="F27" i="5"/>
  <c r="F11" i="5"/>
  <c r="E12" i="5"/>
  <c r="F12" i="5"/>
  <c r="E13" i="5"/>
  <c r="F13" i="5"/>
  <c r="E14" i="5"/>
  <c r="F14" i="5"/>
  <c r="E15" i="5"/>
  <c r="F15" i="5"/>
  <c r="E16" i="5"/>
  <c r="F16" i="5"/>
  <c r="E17" i="5"/>
  <c r="F17" i="5"/>
  <c r="E18" i="5"/>
  <c r="F18" i="5"/>
  <c r="E19" i="5"/>
  <c r="F19" i="5"/>
  <c r="E25" i="5"/>
  <c r="F25" i="5"/>
  <c r="F10" i="5"/>
  <c r="E10" i="5"/>
  <c r="B17" i="3"/>
  <c r="C17" i="3"/>
  <c r="D17" i="3"/>
  <c r="C22" i="3"/>
  <c r="C25" i="3" s="1"/>
  <c r="D22" i="3"/>
  <c r="D25" i="3" s="1"/>
  <c r="B22" i="3"/>
  <c r="B25" i="3" s="1"/>
  <c r="E15" i="3"/>
  <c r="F20" i="3"/>
  <c r="F19" i="3"/>
  <c r="E20" i="3"/>
  <c r="E19" i="3"/>
  <c r="F15" i="3"/>
  <c r="F11" i="3"/>
  <c r="F12" i="3"/>
  <c r="F13" i="3"/>
  <c r="F10" i="3"/>
  <c r="E11" i="3"/>
  <c r="E12" i="3"/>
  <c r="E13" i="3"/>
  <c r="E10" i="3"/>
  <c r="D27" i="14" l="1"/>
  <c r="F27" i="14" s="1"/>
  <c r="D26" i="14"/>
  <c r="F26" i="14" s="1"/>
  <c r="L39" i="17"/>
  <c r="M43" i="17"/>
  <c r="L43" i="17"/>
  <c r="M35" i="17"/>
  <c r="L35" i="17"/>
  <c r="M56" i="17"/>
  <c r="L56" i="17"/>
  <c r="L42" i="17"/>
  <c r="M42" i="17"/>
  <c r="M55" i="17"/>
  <c r="L55" i="17"/>
  <c r="J58" i="17"/>
  <c r="N58" i="17"/>
  <c r="M41" i="17"/>
  <c r="L41" i="17"/>
  <c r="M51" i="17"/>
  <c r="L51" i="17"/>
  <c r="L50" i="17"/>
  <c r="M50" i="17"/>
  <c r="M49" i="17"/>
  <c r="L49" i="17"/>
  <c r="M48" i="17"/>
  <c r="L48" i="17"/>
  <c r="J46" i="17"/>
  <c r="D37" i="12"/>
  <c r="F37" i="12" s="1"/>
  <c r="F31" i="12"/>
  <c r="D49" i="12"/>
  <c r="F49" i="12" s="1"/>
  <c r="H52" i="17"/>
  <c r="H44" i="17"/>
  <c r="H36" i="17"/>
  <c r="H37" i="17"/>
  <c r="D56" i="12"/>
  <c r="F56" i="12" s="1"/>
  <c r="D48" i="12"/>
  <c r="F48" i="12" s="1"/>
  <c r="L54" i="17"/>
  <c r="H38" i="17"/>
  <c r="H53" i="17"/>
  <c r="B42" i="12"/>
  <c r="D55" i="12"/>
  <c r="F55" i="12" s="1"/>
  <c r="D47" i="12"/>
  <c r="F47" i="12" s="1"/>
  <c r="H34" i="17"/>
  <c r="D37" i="17"/>
  <c r="D36" i="17"/>
  <c r="C47" i="12"/>
  <c r="C48" i="12" s="1"/>
  <c r="C49" i="12" s="1"/>
  <c r="C50" i="12" s="1"/>
  <c r="C51" i="12" s="1"/>
  <c r="C52" i="12" s="1"/>
  <c r="C53" i="12" s="1"/>
  <c r="C54" i="12" s="1"/>
  <c r="C55" i="12" s="1"/>
  <c r="C56" i="12" s="1"/>
  <c r="H40" i="17"/>
  <c r="B57" i="12"/>
  <c r="H47" i="17"/>
  <c r="B31" i="3"/>
  <c r="C31" i="3"/>
  <c r="D31" i="3"/>
  <c r="D37" i="3" s="1"/>
  <c r="D40" i="3" s="1"/>
  <c r="D42" i="3" s="1"/>
  <c r="D44" i="3" s="1"/>
  <c r="H48" i="16"/>
  <c r="D41" i="2"/>
  <c r="D46" i="16"/>
  <c r="C41" i="2"/>
  <c r="D15" i="2"/>
  <c r="H42" i="16"/>
  <c r="G47" i="16"/>
  <c r="E8" i="10"/>
  <c r="E11" i="10"/>
  <c r="D20" i="10" s="1"/>
  <c r="E20" i="10" s="1"/>
  <c r="D8" i="10"/>
  <c r="D11" i="10"/>
  <c r="C20" i="10" s="1"/>
  <c r="C47" i="16"/>
  <c r="D47" i="16" s="1"/>
  <c r="C8" i="10"/>
  <c r="G46" i="16"/>
  <c r="D12" i="10"/>
  <c r="B37" i="3"/>
  <c r="B40" i="3" s="1"/>
  <c r="B42" i="3" s="1"/>
  <c r="B44" i="3" s="1"/>
  <c r="D48" i="16"/>
  <c r="I48" i="16"/>
  <c r="D30" i="14"/>
  <c r="F30" i="14" s="1"/>
  <c r="C45" i="17"/>
  <c r="C51" i="17"/>
  <c r="C49" i="17"/>
  <c r="C36" i="17"/>
  <c r="D51" i="17"/>
  <c r="D39" i="17"/>
  <c r="C52" i="17"/>
  <c r="C39" i="17"/>
  <c r="D49" i="17"/>
  <c r="C40" i="17"/>
  <c r="C35" i="17"/>
  <c r="C37" i="17"/>
  <c r="C41" i="17"/>
  <c r="D38" i="17"/>
  <c r="D42" i="17"/>
  <c r="D46" i="17"/>
  <c r="D48" i="17"/>
  <c r="D50" i="17"/>
  <c r="C38" i="17"/>
  <c r="C42" i="17"/>
  <c r="C46" i="17"/>
  <c r="C48" i="17"/>
  <c r="C50" i="17"/>
  <c r="D35" i="17"/>
  <c r="D47" i="17"/>
  <c r="E48" i="16"/>
  <c r="E47" i="16"/>
  <c r="E46" i="16"/>
  <c r="I45" i="16"/>
  <c r="E45" i="16"/>
  <c r="I44" i="16"/>
  <c r="E44" i="16"/>
  <c r="E43" i="16"/>
  <c r="I42" i="16"/>
  <c r="E42" i="16"/>
  <c r="E39" i="5"/>
  <c r="F39" i="5"/>
  <c r="E33" i="5"/>
  <c r="F33" i="5"/>
  <c r="B48" i="3"/>
  <c r="D48" i="3"/>
  <c r="C48" i="3"/>
  <c r="C37" i="3"/>
  <c r="E22" i="3"/>
  <c r="F22" i="3"/>
  <c r="E25" i="3"/>
  <c r="F25" i="3"/>
  <c r="D42" i="12" l="1"/>
  <c r="F42" i="12" s="1"/>
  <c r="H45" i="17"/>
  <c r="L36" i="17"/>
  <c r="M36" i="17"/>
  <c r="M40" i="17"/>
  <c r="L40" i="17"/>
  <c r="M53" i="17"/>
  <c r="L53" i="17"/>
  <c r="L44" i="17"/>
  <c r="M44" i="17"/>
  <c r="K47" i="17"/>
  <c r="M47" i="17"/>
  <c r="L47" i="17"/>
  <c r="C57" i="12"/>
  <c r="B62" i="12" s="1"/>
  <c r="C62" i="12" s="1"/>
  <c r="M38" i="17"/>
  <c r="L38" i="17"/>
  <c r="L52" i="17"/>
  <c r="M52" i="17"/>
  <c r="C42" i="12"/>
  <c r="B61" i="12" s="1"/>
  <c r="C61" i="12" s="1"/>
  <c r="M37" i="17"/>
  <c r="L37" i="17"/>
  <c r="J47" i="17"/>
  <c r="J34" i="17"/>
  <c r="J35" i="17" s="1"/>
  <c r="N34" i="17"/>
  <c r="D57" i="12"/>
  <c r="F57" i="12" s="1"/>
  <c r="H57" i="17"/>
  <c r="B25" i="2"/>
  <c r="B13" i="18"/>
  <c r="B23" i="2"/>
  <c r="B50" i="3"/>
  <c r="B49" i="16"/>
  <c r="D13" i="18"/>
  <c r="G49" i="16"/>
  <c r="D23" i="2"/>
  <c r="D50" i="3"/>
  <c r="D19" i="14"/>
  <c r="F19" i="14" s="1"/>
  <c r="D25" i="2"/>
  <c r="E37" i="3"/>
  <c r="C40" i="3"/>
  <c r="C42" i="3" s="1"/>
  <c r="C44" i="3" s="1"/>
  <c r="E9" i="10"/>
  <c r="D18" i="10"/>
  <c r="E18" i="10" s="1"/>
  <c r="D45" i="2"/>
  <c r="D25" i="14"/>
  <c r="F25" i="14" s="1"/>
  <c r="D16" i="18"/>
  <c r="H47" i="16"/>
  <c r="I47" i="16"/>
  <c r="C46" i="2"/>
  <c r="C19" i="10"/>
  <c r="C45" i="2"/>
  <c r="C16" i="18"/>
  <c r="C18" i="10"/>
  <c r="D9" i="10"/>
  <c r="H46" i="16"/>
  <c r="I46" i="16"/>
  <c r="D18" i="14"/>
  <c r="F18" i="14" s="1"/>
  <c r="E12" i="10"/>
  <c r="B45" i="2"/>
  <c r="B16" i="18"/>
  <c r="C9" i="10"/>
  <c r="B18" i="10"/>
  <c r="F37" i="3"/>
  <c r="F31" i="3"/>
  <c r="E31" i="3"/>
  <c r="M57" i="17" l="1"/>
  <c r="L57" i="17"/>
  <c r="J48" i="17"/>
  <c r="K48" i="17"/>
  <c r="J36" i="17"/>
  <c r="K35" i="17"/>
  <c r="M45" i="17"/>
  <c r="L45" i="17"/>
  <c r="F44" i="3"/>
  <c r="E44" i="3"/>
  <c r="F49" i="16"/>
  <c r="H49" i="16" s="1"/>
  <c r="F15" i="14"/>
  <c r="C50" i="3"/>
  <c r="C13" i="18"/>
  <c r="C25" i="2"/>
  <c r="C23" i="2"/>
  <c r="C49" i="16"/>
  <c r="B14" i="18"/>
  <c r="B12" i="17"/>
  <c r="B21" i="2"/>
  <c r="E54" i="17"/>
  <c r="D15" i="18"/>
  <c r="D13" i="17"/>
  <c r="D22" i="2"/>
  <c r="B36" i="17"/>
  <c r="E34" i="17"/>
  <c r="D14" i="18"/>
  <c r="D12" i="17"/>
  <c r="D21" i="2"/>
  <c r="B13" i="17"/>
  <c r="B15" i="18"/>
  <c r="B22" i="2"/>
  <c r="D46" i="2"/>
  <c r="D19" i="10"/>
  <c r="E19" i="10" s="1"/>
  <c r="J37" i="17" l="1"/>
  <c r="K36" i="17"/>
  <c r="K37" i="17"/>
  <c r="J49" i="17"/>
  <c r="K49" i="17"/>
  <c r="B35" i="17"/>
  <c r="C14" i="18"/>
  <c r="C12" i="17"/>
  <c r="C21" i="2"/>
  <c r="I49" i="16"/>
  <c r="E44" i="17"/>
  <c r="C15" i="18"/>
  <c r="C13" i="17"/>
  <c r="C22" i="2"/>
  <c r="D16" i="14"/>
  <c r="F16" i="14" s="1"/>
  <c r="D43" i="17"/>
  <c r="C43" i="17"/>
  <c r="D17" i="14"/>
  <c r="F17" i="14" s="1"/>
  <c r="D53" i="17"/>
  <c r="C53" i="17"/>
  <c r="D49" i="16"/>
  <c r="E49" i="16"/>
  <c r="B37" i="17"/>
  <c r="J50" i="17" l="1"/>
  <c r="K50" i="17"/>
  <c r="J38" i="17"/>
  <c r="K38" i="17"/>
  <c r="F14" i="14"/>
  <c r="B45" i="17"/>
  <c r="B38" i="17"/>
  <c r="J39" i="17" l="1"/>
  <c r="J40" i="17" s="1"/>
  <c r="K39" i="17"/>
  <c r="J51" i="17"/>
  <c r="K51" i="17"/>
  <c r="A35" i="14"/>
  <c r="B35" i="14"/>
  <c r="B39" i="17"/>
  <c r="J52" i="17" l="1"/>
  <c r="J53" i="17" s="1"/>
  <c r="K52" i="17"/>
  <c r="J41" i="17"/>
  <c r="J42" i="17" s="1"/>
  <c r="K41" i="17"/>
  <c r="K40" i="17"/>
  <c r="D35" i="14"/>
  <c r="A4" i="14"/>
  <c r="B46" i="17"/>
  <c r="B47" i="17"/>
  <c r="J43" i="17" l="1"/>
  <c r="K42" i="17"/>
  <c r="J54" i="17"/>
  <c r="K54" i="17"/>
  <c r="K53" i="17"/>
  <c r="B48" i="17"/>
  <c r="B40" i="17"/>
  <c r="J55" i="17" l="1"/>
  <c r="J56" i="17" s="1"/>
  <c r="K55" i="17"/>
  <c r="J44" i="17"/>
  <c r="K43" i="17"/>
  <c r="K44" i="17"/>
  <c r="B49" i="17"/>
  <c r="B50" i="17"/>
  <c r="B41" i="17"/>
  <c r="J45" i="17" l="1"/>
  <c r="K45" i="17"/>
  <c r="J57" i="17"/>
  <c r="K57" i="17" s="1"/>
  <c r="K56" i="17"/>
  <c r="B51" i="17"/>
  <c r="B43" i="17"/>
  <c r="B42" i="17"/>
  <c r="B53" i="17" l="1"/>
  <c r="B52"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tc={07EB6DC4-17A5-4109-BDD6-FE1C444B3334}</author>
    <author>tc={E91FFB70-868A-46BA-8DC8-59A63886006A}</author>
    <author>tc={2C397FB1-D204-4088-AD0D-3722ADD00848}</author>
    <author>tc={D3AFC25B-16A9-4A2B-AEF9-B8C1E2DE7ACB}</author>
    <author>tc={3DFDF4C5-E11F-4A7B-B324-0924CC3E2BA1}</author>
  </authors>
  <commentList>
    <comment ref="A48" authorId="0" shapeId="0" xr:uid="{07EB6DC4-17A5-4109-BDD6-FE1C444B3334}">
      <text>
        <t>[Threaded comment]
Your version of Excel allows you to read this threaded comment; however, any edits to it will get removed if the file is opened in a newer version of Excel. Learn more: https://go.microsoft.com/fwlink/?linkid=870924
Comment:
    ( FORMULA: CIR = Total Operating Expenses / Total Net Banking Income × 100)</t>
      </text>
    </comment>
    <comment ref="E49" authorId="1" shapeId="0" xr:uid="{E91FFB70-868A-46BA-8DC8-59A63886006A}">
      <text>
        <t xml:space="preserve">[Threaded comment]
Your version of Excel allows you to read this threaded comment; however, any edits to it will get removed if the file is opened in a newer version of Excel. Learn more: https://go.microsoft.com/fwlink/?linkid=870924
Comment:
    TREND: This tells you whether credit quality is improving or deteriorating. Going from 31 → lower = improving. Going higher = bank is seeing more loan losses. </t>
      </text>
    </comment>
    <comment ref="A50" authorId="2" shapeId="0" xr:uid="{2C397FB1-D204-4088-AD0D-3722ADD00848}">
      <text>
        <t xml:space="preserve">[Threaded comment]
Your version of Excel allows you to read this threaded comment; however, any edits to it will get removed if the file is opened in a newer version of Excel. Learn more: https://go.microsoft.com/fwlink/?linkid=870924
Comment:
    FORMULA: Net Income Margin = Net Income (Group Share) / Total NBI × 100 </t>
      </text>
    </comment>
    <comment ref="E50" authorId="3" shapeId="0" xr:uid="{D3AFC25B-16A9-4A2B-AEF9-B8C1E2DE7ACB}">
      <text>
        <t>[Threaded comment]
Your version of Excel allows you to read this threaded comment; however, any edits to it will get removed if the file is opened in a newer version of Excel. Learn more: https://go.microsoft.com/fwlink/?linkid=870924
Comment:
    TREND NOTE: A rising margin means the bank is either growing income faster than costs, reducing credit losses, or benefiting from tax optimization. Declining margin = costs/risks rising faster than revenue.</t>
      </text>
    </comment>
    <comment ref="A51" authorId="4" shapeId="0" xr:uid="{3DFDF4C5-E11F-4A7B-B324-0924CC3E2BA1}">
      <text>
        <t xml:space="preserve">[Threaded comment]
Your version of Excel allows you to read this threaded comment; however, any edits to it will get removed if the file is opened in a newer version of Excel. Learn more: https://go.microsoft.com/fwlink/?linkid=870924
Comment:
    FORMULA: EPS = Net Income (Group Share) / Weighted Average Shares Outstanding </t>
      </text>
    </comment>
  </commentList>
</comments>
</file>

<file path=xl/sharedStrings.xml><?xml version="1.0" encoding="utf-8"?>
<sst xmlns="http://schemas.openxmlformats.org/spreadsheetml/2006/main" count="2528" uniqueCount="1202">
  <si>
    <t>FY 2022</t>
  </si>
  <si>
    <t>FY 2023</t>
  </si>
  <si>
    <t>FY 2024</t>
  </si>
  <si>
    <t>↗</t>
  </si>
  <si>
    <t>Net Interest Margin (NIM)</t>
  </si>
  <si>
    <t>Leverage Ratio</t>
  </si>
  <si>
    <t>Cost of Risk</t>
  </si>
  <si>
    <t>Category</t>
  </si>
  <si>
    <t>ANALYST INFORMATION</t>
  </si>
  <si>
    <t>ENTITY OVERVIEW</t>
  </si>
  <si>
    <t>ANALYSIS SCOPE</t>
  </si>
  <si>
    <t>REGULATORY FRAMEWORK</t>
  </si>
  <si>
    <t>KEY METRICS COVERED IN THIS WORKBOOK</t>
  </si>
  <si>
    <t>DISCLAIMER</t>
  </si>
  <si>
    <t xml:space="preserve">Analyst Name:          </t>
  </si>
  <si>
    <t>Joy Lorna</t>
  </si>
  <si>
    <t xml:space="preserve">Role Target:          </t>
  </si>
  <si>
    <t>Financial Analyst — Luxembourg Banking / Big 4</t>
  </si>
  <si>
    <t xml:space="preserve">Analysis Date:  </t>
  </si>
  <si>
    <t xml:space="preserve">Workbook Version:     </t>
  </si>
  <si>
    <t xml:space="preserve">Legal Entity:          </t>
  </si>
  <si>
    <t>BNP Paribas SA</t>
  </si>
  <si>
    <t xml:space="preserve">Headquarters:          </t>
  </si>
  <si>
    <t>16 Boulevard des Italiens, 75009 Paris, France</t>
  </si>
  <si>
    <t xml:space="preserve">Listed:               </t>
  </si>
  <si>
    <t>Euronext Paris — Ticker: BNP (CAC 40)</t>
  </si>
  <si>
    <t xml:space="preserve">ISIN:                  </t>
  </si>
  <si>
    <t>FR0000131104</t>
  </si>
  <si>
    <t xml:space="preserve">Business Model:        </t>
  </si>
  <si>
    <t>Universal bank — Retail, Corporate &amp; Institutional</t>
  </si>
  <si>
    <t xml:space="preserve">                      </t>
  </si>
  <si>
    <t>Banking (CIB), Asset &amp; Wealth Management</t>
  </si>
  <si>
    <t xml:space="preserve">Supervision:           </t>
  </si>
  <si>
    <t xml:space="preserve">                       </t>
  </si>
  <si>
    <t>SREP annual cycle, G-SIB designation</t>
  </si>
  <si>
    <t xml:space="preserve">Period:                </t>
  </si>
  <si>
    <t>FY 2022 | FY 2023 | FY 2024</t>
  </si>
  <si>
    <t xml:space="preserve">Reporting Standard:    </t>
  </si>
  <si>
    <t xml:space="preserve">Currency:              </t>
  </si>
  <si>
    <t>EUR (€ millions) unless stated</t>
  </si>
  <si>
    <t xml:space="preserve">Statements in Scope:   </t>
  </si>
  <si>
    <t>5 — Profitability, Liquidity, Capital, Asset Quality, Efficiency</t>
  </si>
  <si>
    <t xml:space="preserve">Ratio Families:        </t>
  </si>
  <si>
    <t xml:space="preserve">ECB SSM (Significant Institution under SSM) </t>
  </si>
  <si>
    <t xml:space="preserve">Regulatory Context:   </t>
  </si>
  <si>
    <t xml:space="preserve">Profitability:    </t>
  </si>
  <si>
    <t>ROE, ROTE, ROA, NIM, NII, CIR, EPS</t>
  </si>
  <si>
    <t xml:space="preserve">Liquidity:        </t>
  </si>
  <si>
    <t>CET1, Tier 1, Total Capital, Leverage Ratio, RWA</t>
  </si>
  <si>
    <t xml:space="preserve">Capital:         </t>
  </si>
  <si>
    <t xml:space="preserve">Asset Quality:    </t>
  </si>
  <si>
    <t xml:space="preserve">Efficiency:       </t>
  </si>
  <si>
    <t>BNP PARIBAS SA — CONSOLIDATED INCOME STATEMENT</t>
  </si>
  <si>
    <t>OPERATING EXPENSES</t>
  </si>
  <si>
    <t>Δ% 22→23</t>
  </si>
  <si>
    <t>Δ% 23→24</t>
  </si>
  <si>
    <t>Net Income from Other Activities</t>
  </si>
  <si>
    <t>Operating expenses</t>
  </si>
  <si>
    <t>Share of earnings of equity-method entities</t>
  </si>
  <si>
    <t>Net gain on non-current assets</t>
  </si>
  <si>
    <t>Goodwill</t>
  </si>
  <si>
    <t>KEY METRICS</t>
  </si>
  <si>
    <t>BNP PARIBAS SA — CONSOLIDATED BALANCE SHEET</t>
  </si>
  <si>
    <t>BNP PARIBAS SA — CONSOLIDATED CASH FLOW STATEMENT</t>
  </si>
  <si>
    <t>A. OPERATING ACTIVITIES</t>
  </si>
  <si>
    <t>B. INVESTING ACTIVITIES</t>
  </si>
  <si>
    <t>C. FINANCING ACTIVITIES</t>
  </si>
  <si>
    <t>NET CASH FROM OPERATING ACTIVITIES</t>
  </si>
  <si>
    <t xml:space="preserve">TOTAL LIABILITIES       </t>
  </si>
  <si>
    <t xml:space="preserve">TOTAL EQUITY           </t>
  </si>
  <si>
    <t>Cash and balances at central banks</t>
  </si>
  <si>
    <t>Financial instruments at fair value through profit or loss</t>
  </si>
  <si>
    <t xml:space="preserve">    Securities</t>
  </si>
  <si>
    <t xml:space="preserve">    Loans and repurchase agreements</t>
  </si>
  <si>
    <t xml:space="preserve">    Derivative financial instruments</t>
  </si>
  <si>
    <t>Derivatives used for hedging purposes</t>
  </si>
  <si>
    <t>Financial assets at fair value through equity</t>
  </si>
  <si>
    <t xml:space="preserve">    Debt securities</t>
  </si>
  <si>
    <t xml:space="preserve">    Equity securities</t>
  </si>
  <si>
    <t>Financial assets at amortised cost</t>
  </si>
  <si>
    <t xml:space="preserve">    Loans and advances to credit institutions</t>
  </si>
  <si>
    <t xml:space="preserve">    Loans and advances to customers</t>
  </si>
  <si>
    <t>Remeasurement adjustment on interest-rate risk hedged portfolios</t>
  </si>
  <si>
    <t>Investments and other assets related to insurance activities</t>
  </si>
  <si>
    <t>Current and deferred tax assets</t>
  </si>
  <si>
    <t>Accrued income and other assets</t>
  </si>
  <si>
    <t>Equity-method investments</t>
  </si>
  <si>
    <t>Property, plant and equipment and investment property</t>
  </si>
  <si>
    <t>Intangible assets</t>
  </si>
  <si>
    <t>TOTAL ASSETS</t>
  </si>
  <si>
    <t>Deposits from central banks</t>
  </si>
  <si>
    <t>Financial liabilities at amortised cost</t>
  </si>
  <si>
    <t>Provisions for contingencies and charges</t>
  </si>
  <si>
    <t>Financial liabilities related to insurance activities</t>
  </si>
  <si>
    <t>Liabilities related to insurance contracts</t>
  </si>
  <si>
    <t>Accrued expenses and other liabilities</t>
  </si>
  <si>
    <t>Current and deferred tax liabilities</t>
  </si>
  <si>
    <t>Remeasurement adjustment on interest‑rate risk hedged portfolios</t>
  </si>
  <si>
    <t xml:space="preserve">  Subordinated debt</t>
  </si>
  <si>
    <t xml:space="preserve">  Debt securities</t>
  </si>
  <si>
    <t xml:space="preserve">  Deposits from customers</t>
  </si>
  <si>
    <t xml:space="preserve">  Deposits from credit institutions</t>
  </si>
  <si>
    <t xml:space="preserve">  Derivative financial instruments</t>
  </si>
  <si>
    <t xml:space="preserve">  Derivatives used for hedging purposes</t>
  </si>
  <si>
    <t xml:space="preserve">  Issued debt securities and subordinated debt</t>
  </si>
  <si>
    <t xml:space="preserve">  Deposits and repurchase agreements</t>
  </si>
  <si>
    <t xml:space="preserve">  Securities</t>
  </si>
  <si>
    <t>Share capital, additional paid‑in capital and retained earnings</t>
  </si>
  <si>
    <t>Changes in assets and liabilities recognised directly in equity</t>
  </si>
  <si>
    <t>Shareholders’ equity</t>
  </si>
  <si>
    <t>Minority interests</t>
  </si>
  <si>
    <t xml:space="preserve">TOTAL LIABILITIES + EQUITY </t>
  </si>
  <si>
    <t>NET CASH FROM INVESTING ACTIVITIES</t>
  </si>
  <si>
    <t>NET CASH FROM FINANCING ACTIVITIES</t>
  </si>
  <si>
    <t>Pre-tax income from continuing activities</t>
  </si>
  <si>
    <t>Pre-tax income from discontinued activities</t>
  </si>
  <si>
    <t>Non-monetary items included in pre-tax net income and other adjustments</t>
  </si>
  <si>
    <t xml:space="preserve">    Impairment of goodwill and other non-current assets</t>
  </si>
  <si>
    <t xml:space="preserve">    Net addition to provisions</t>
  </si>
  <si>
    <t xml:space="preserve">    Variation of assets/liabilities related to insurance contracts</t>
  </si>
  <si>
    <t xml:space="preserve">    Share of earnings of equity-method entities</t>
  </si>
  <si>
    <t xml:space="preserve">    Other movements</t>
  </si>
  <si>
    <t xml:space="preserve">    Net decrease related to transactions with customers and credit institutions</t>
  </si>
  <si>
    <t xml:space="preserve">    Net decrease related to transactions involving other financial assets and liabilities</t>
  </si>
  <si>
    <t>Taxes paid</t>
  </si>
  <si>
    <t>Net increase related to acquisitions and disposals of consolidated entities</t>
  </si>
  <si>
    <t>Net decrease related to property, plant and equipment and intangible assets</t>
  </si>
  <si>
    <t>Decrease in cash and cash equivalents related to transactions with shareholders</t>
  </si>
  <si>
    <t>Increase in cash and cash equivalents generated by other financing activities</t>
  </si>
  <si>
    <t>NET DECREASE IN CASH AND CASH EQUIVALENTS</t>
  </si>
  <si>
    <t>Net decrease related to assets and liabilities</t>
  </si>
  <si>
    <t xml:space="preserve">    Net depreciation/amortisation expense </t>
  </si>
  <si>
    <t xml:space="preserve">    Net decrease related to transactions involving non-financial assets and liabilities</t>
  </si>
  <si>
    <t>Total capital, retained earnings and net income</t>
  </si>
  <si>
    <t>Net Income Margin</t>
  </si>
  <si>
    <t>Strong delivery</t>
  </si>
  <si>
    <t>Net Stable Funding Ratio (NSFR)</t>
  </si>
  <si>
    <t>n/a</t>
  </si>
  <si>
    <t>&lt;100% ideal</t>
  </si>
  <si>
    <t>Total Capital Ratio</t>
  </si>
  <si>
    <t>Coverage Ratio</t>
  </si>
  <si>
    <t>Stage 1 ECL (€M)</t>
  </si>
  <si>
    <t>Δ€M 22→23</t>
  </si>
  <si>
    <t>Total NBI</t>
  </si>
  <si>
    <t>Gross Operating Income</t>
  </si>
  <si>
    <t>PASS</t>
  </si>
  <si>
    <t>METRIC</t>
  </si>
  <si>
    <t>&lt;66.0%</t>
  </si>
  <si>
    <t>Operating Leverage (pp)</t>
  </si>
  <si>
    <t>STATUS</t>
  </si>
  <si>
    <t>EFFECT OF MOVEMENT IN EXCHANGE RATES</t>
  </si>
  <si>
    <t>NPL Ratio</t>
  </si>
  <si>
    <t>Cost of Risk (bps)</t>
  </si>
  <si>
    <t>Base</t>
  </si>
  <si>
    <t>Positive</t>
  </si>
  <si>
    <t>Negative</t>
  </si>
  <si>
    <t>Total</t>
  </si>
  <si>
    <t>NII 22→23</t>
  </si>
  <si>
    <t>Fees 22→23</t>
  </si>
  <si>
    <t>Trading 22→23</t>
  </si>
  <si>
    <t>OpEx 22→23</t>
  </si>
  <si>
    <t>Cost of Risk 22→23</t>
  </si>
  <si>
    <t>NII 23→24</t>
  </si>
  <si>
    <t>Fees 23→24</t>
  </si>
  <si>
    <t>Trading 23→24</t>
  </si>
  <si>
    <t>OpEx 23→24</t>
  </si>
  <si>
    <t>Cost of Risk 23→24</t>
  </si>
  <si>
    <t>FY 2022 → FY 2023 BRIDGE</t>
  </si>
  <si>
    <t>Net Interest Income</t>
  </si>
  <si>
    <t>Fee &amp; Commission Income</t>
  </si>
  <si>
    <t>Trading Income</t>
  </si>
  <si>
    <t>FY 2023 → FY 2024 BRIDGE</t>
  </si>
  <si>
    <t>Other NBI 22→23</t>
  </si>
  <si>
    <t>Non-op 22→23</t>
  </si>
  <si>
    <t>Tax 22→23</t>
  </si>
  <si>
    <t>Disc. ops / NCI 22→23</t>
  </si>
  <si>
    <t>Other NBI 23→24</t>
  </si>
  <si>
    <t>Non-op 23→24</t>
  </si>
  <si>
    <t>Tax 23→24</t>
  </si>
  <si>
    <t>Disc. ops / NCI 23→24</t>
  </si>
  <si>
    <t>BNP PARIBAS SA — THREE-YEAR FINANCIAL ANALYSIS</t>
  </si>
  <si>
    <t>IFRS financial analysis | ECB SSM regulated institution | All monetary figures in € millions unless stated</t>
  </si>
  <si>
    <t>This workbook is prepared for portfolio demonstration and interview preparation purposes only. All figures should be verified against BNP Paribas official published disclosures. It is not investment advice.</t>
  </si>
  <si>
    <t>BNP PARIBAS — WORKBOOK SHEET MAP</t>
  </si>
  <si>
    <t>Navigation guide for the FY 2022–FY 2024 financial analysis workbook</t>
  </si>
  <si>
    <t>WORKBOOK CONTENTS</t>
  </si>
  <si>
    <t>TAB #</t>
  </si>
  <si>
    <t>WORKSHEET</t>
  </si>
  <si>
    <t>PURPOSE</t>
  </si>
  <si>
    <t>📌 COVER</t>
  </si>
  <si>
    <t>🔎WORKBOOK SHEET MAP</t>
  </si>
  <si>
    <t>📊 EXECUTIVE_SUMMARY</t>
  </si>
  <si>
    <t>📄 INCOME_STATEMENT</t>
  </si>
  <si>
    <t>🏦 BALANCE_SHEET</t>
  </si>
  <si>
    <t>💰 CASH_FLOW</t>
  </si>
  <si>
    <t>🧮VARIANCE BRIDGE</t>
  </si>
  <si>
    <t>📈 RATIOS_PROFITABILITY</t>
  </si>
  <si>
    <t>📈 RATIOS_LIQUIDITY</t>
  </si>
  <si>
    <t>📈 RATIOS_CAPITAL</t>
  </si>
  <si>
    <t>📈 RATIOS_ASSET_QUALITY</t>
  </si>
  <si>
    <t>📈 RATIOS_EFFICIENCY</t>
  </si>
  <si>
    <t>📉 TRENDS_CHARTS</t>
  </si>
  <si>
    <t>💧 WATERFALL_NET_INCOME</t>
  </si>
  <si>
    <t>🔍 CHECKS</t>
  </si>
  <si>
    <t>BNP PARIBAS SA — EXECUTIVE KPI SCORECARD</t>
  </si>
  <si>
    <t>FY 2022–FY 2024 | IFRS | ECB SSM regulated institution</t>
  </si>
  <si>
    <t>All monetary values in €M unless stated | Live-linked to the workbook’s financial statements and ratio schedules</t>
  </si>
  <si>
    <t>STORY IN BRIEF</t>
  </si>
  <si>
    <t>TREND</t>
  </si>
  <si>
    <t>SIGNAL</t>
  </si>
  <si>
    <t>EARNINGS &amp; REVENUE</t>
  </si>
  <si>
    <t>PROFITABILITY &amp; RETURNS</t>
  </si>
  <si>
    <t>CAPITAL &amp; LIQUIDITY</t>
  </si>
  <si>
    <t>ASSET QUALITY &amp; EFFICIENCY</t>
  </si>
  <si>
    <t>Net Banking Income (€M)</t>
  </si>
  <si>
    <t>Net Interest Income (€M)</t>
  </si>
  <si>
    <t>Fee &amp; Commission Income (€M)</t>
  </si>
  <si>
    <t>Operating Expenses (€M)</t>
  </si>
  <si>
    <t>Cost of Risk (€M)</t>
  </si>
  <si>
    <t>Net Income — Group Share (€M)</t>
  </si>
  <si>
    <t>Return on Equity (ROE)</t>
  </si>
  <si>
    <t>Return on Tangible Equity (ROTE)</t>
  </si>
  <si>
    <t>Return on Assets (ROA)</t>
  </si>
  <si>
    <t>Earnings per Share (€)</t>
  </si>
  <si>
    <t>CET1 Ratio</t>
  </si>
  <si>
    <t>Tier 1 Ratio</t>
  </si>
  <si>
    <t>Risk-Weighted Assets (€M)</t>
  </si>
  <si>
    <t>Liquidity Coverage Ratio (LCR)</t>
  </si>
  <si>
    <t>Loan-to-Deposit Ratio</t>
  </si>
  <si>
    <t>Stage 2 ECL (€M)</t>
  </si>
  <si>
    <t>Stage 3 Allowance (€M)</t>
  </si>
  <si>
    <t>Cost-to-Income Ratio (CIR)</t>
  </si>
  <si>
    <t>Strong revenue growth</t>
  </si>
  <si>
    <t>↘↗</t>
  </si>
  <si>
    <t>Rate-cycle pressure</t>
  </si>
  <si>
    <t>Resilient recovery</t>
  </si>
  <si>
    <t>↗↘</t>
  </si>
  <si>
    <t>Costs eased in FY2024</t>
  </si>
  <si>
    <t>Strong earnings growth</t>
  </si>
  <si>
    <t>Improving; below EU average</t>
  </si>
  <si>
    <t>Within EU bank range</t>
  </si>
  <si>
    <t>↘</t>
  </si>
  <si>
    <t>At upper end of EU range</t>
  </si>
  <si>
    <t>Stable near 24%</t>
  </si>
  <si>
    <t>Strong EPS growth</t>
  </si>
  <si>
    <t>Managed capital intensity</t>
  </si>
  <si>
    <t>Above 100% minimum</t>
  </si>
  <si>
    <t>→</t>
  </si>
  <si>
    <t>Better than EU average</t>
  </si>
  <si>
    <t>Adequate; declining buffer</t>
  </si>
  <si>
    <t>Lower performing ECL</t>
  </si>
  <si>
    <t>Lower lifetime ECL</t>
  </si>
  <si>
    <t>Stable doubtful allowance</t>
  </si>
  <si>
    <t>Positive in FY2024</t>
  </si>
  <si>
    <t>KEY FINDINGS</t>
  </si>
  <si>
    <t>Earnings</t>
  </si>
  <si>
    <t>Efficiency</t>
  </si>
  <si>
    <t>Capital</t>
  </si>
  <si>
    <t>Liquidity</t>
  </si>
  <si>
    <t>LCR and NSFR remained above 100% in every year; FY2024 closed at 137% and 111.75%.</t>
  </si>
  <si>
    <t>Credit quality</t>
  </si>
  <si>
    <t>NPL improved to 1.6%, but coverage declined to 69.7%.</t>
  </si>
  <si>
    <t>MANAGEMENT TAKEAWAY</t>
  </si>
  <si>
    <t>FY 2022–FY 2024 | IFRS banking presentation | Net Banking Income format</t>
  </si>
  <si>
    <t>All figures in €M except percentages, basis points, and per-share data</t>
  </si>
  <si>
    <t>LINE ITEM</t>
  </si>
  <si>
    <t>NET BANKING INCOME</t>
  </si>
  <si>
    <t>TOTAL NET BANKING INCOME</t>
  </si>
  <si>
    <t>Identified NBI components subtotal</t>
  </si>
  <si>
    <t>TOTAL OPERATING EXPENSES</t>
  </si>
  <si>
    <t>GROSS OPERATING INCOME</t>
  </si>
  <si>
    <t>OPERATING INCOME</t>
  </si>
  <si>
    <t>Goodwill impact</t>
  </si>
  <si>
    <t>PRE-TAX INCOME</t>
  </si>
  <si>
    <t>CORPORATE INCOME TAX</t>
  </si>
  <si>
    <t>EPS — Group Share (€)</t>
  </si>
  <si>
    <t>FY 2022–FY 2024 | IFRS banking presentation</t>
  </si>
  <si>
    <t>All figures in €M | Period end: 31 December</t>
  </si>
  <si>
    <t>Total assets increased to €2,704,908M in FY2024, supported by customer-loan growth and higher securities balances. Customer deposits grew 4.7%, while total equity reached €134,141M and the balance sheet remained fully reconciled.</t>
  </si>
  <si>
    <t>ASSETS</t>
  </si>
  <si>
    <t>LIABILITIES</t>
  </si>
  <si>
    <t>EQUITY</t>
  </si>
  <si>
    <t>BALANCE CHECK — Assets less Liabilities &amp; Equity</t>
  </si>
  <si>
    <t>FY 2022–FY 2024 | IFRS (IAS 7) | Indirect method</t>
  </si>
  <si>
    <t>All figures in €M except percentages</t>
  </si>
  <si>
    <t>FY2024 cash generation was affected by a €97,376M operating outflow, mainly from movements in financial assets and liabilities. Investing cash flow was near neutral, while financing activities produced a €6,418M outflow.</t>
  </si>
  <si>
    <t>CASH-FLOW ITEM</t>
  </si>
  <si>
    <t>BNP PARIBAS — NET INCOME VARIANCE BRIDGE</t>
  </si>
  <si>
    <t>FY 2022 → FY 2023 → FY 2024 | ECB-style earnings attribution</t>
  </si>
  <si>
    <t>All values in €M | Drivers linked directly to the consolidated income statement</t>
  </si>
  <si>
    <t>DRIVER</t>
  </si>
  <si>
    <t>CHANGE (€M)</t>
  </si>
  <si>
    <t>RUNNING BALANCE</t>
  </si>
  <si>
    <t>DIRECTION</t>
  </si>
  <si>
    <t>SOURCE / STATUS</t>
  </si>
  <si>
    <t>Other operating activities</t>
  </si>
  <si>
    <t>Unallocated NBI components</t>
  </si>
  <si>
    <t>Operating expenses effect</t>
  </si>
  <si>
    <t>Non-operating items</t>
  </si>
  <si>
    <t>Tax effect</t>
  </si>
  <si>
    <t>Discontinued operations &amp; minority interests</t>
  </si>
  <si>
    <t>Closing net income FY2023</t>
  </si>
  <si>
    <t>Income statement</t>
  </si>
  <si>
    <t>NII movement</t>
  </si>
  <si>
    <t>Fees movement</t>
  </si>
  <si>
    <t>Trading movement</t>
  </si>
  <si>
    <t>Other activities movement</t>
  </si>
  <si>
    <t>NBI reconciliation</t>
  </si>
  <si>
    <t>Equity earnings / gains / goodwill</t>
  </si>
  <si>
    <t>Lower tax = positive</t>
  </si>
  <si>
    <t>Reconciliation item</t>
  </si>
  <si>
    <t>RECONCILIATION CHECK</t>
  </si>
  <si>
    <t>Opening net income FY2023</t>
  </si>
  <si>
    <t>Closing net income FY2024</t>
  </si>
  <si>
    <t>P&amp;L LINE VARIANCE SUMMARY</t>
  </si>
  <si>
    <t>ITEM</t>
  </si>
  <si>
    <t>Δ€M 23→24</t>
  </si>
  <si>
    <t>Total Operating Expenses</t>
  </si>
  <si>
    <t>Net Income — Group Share</t>
  </si>
  <si>
    <t>BNP PARIBAS — PROFITABILITY RATIOS</t>
  </si>
  <si>
    <t>FY 2022–FY 2024 | ECB/EBA-aligned definitions</t>
  </si>
  <si>
    <t>Rate metrics in % | EPS in € per share | Values linked to the financial statements where available</t>
  </si>
  <si>
    <t>PROFITABILITY SCORECARD</t>
  </si>
  <si>
    <t>RATIO</t>
  </si>
  <si>
    <t>FORMULA / DEFINITION</t>
  </si>
  <si>
    <t>BENCHMARK / SIGNAL</t>
  </si>
  <si>
    <t>Net income — group share / average total equity</t>
  </si>
  <si>
    <t>Net income — group share / average tangible equity</t>
  </si>
  <si>
    <t>Net income — group share / average total assets</t>
  </si>
  <si>
    <t>Net interest income / average earning assets</t>
  </si>
  <si>
    <t>NII Growth</t>
  </si>
  <si>
    <t>Current-year NII / prior-year NII − 1</t>
  </si>
  <si>
    <t>Rate-cycle sensitivity</t>
  </si>
  <si>
    <t>NBI Growth</t>
  </si>
  <si>
    <t>Current-year NBI / prior-year NBI − 1</t>
  </si>
  <si>
    <t>Revenue momentum</t>
  </si>
  <si>
    <t>Net income — group share / total NBI</t>
  </si>
  <si>
    <t>Higher is better</t>
  </si>
  <si>
    <t>Net income — group share / weighted-average shares</t>
  </si>
  <si>
    <t>(Net income FY2024 / FY2022)^(1/2) − 1</t>
  </si>
  <si>
    <t>METHODOLOGY NOTES</t>
  </si>
  <si>
    <t>BNP PARIBAS — LIQUIDITY RATIOS</t>
  </si>
  <si>
    <t>FY 2022–FY 2024 | CRR Article 412 | LCR Delegated Act | NSFR CRR2</t>
  </si>
  <si>
    <t>Source: BNP Paribas Pillar 3 annual disclosures | HQLA values in €M</t>
  </si>
  <si>
    <t>LIQUIDITY SCORECARD</t>
  </si>
  <si>
    <t>REGULATORY DEFINITION</t>
  </si>
  <si>
    <t>MINIMUM / TARGET</t>
  </si>
  <si>
    <t>HQLA / 30-day stressed net cash outflows</t>
  </si>
  <si>
    <t>≥100%</t>
  </si>
  <si>
    <t>Compliant</t>
  </si>
  <si>
    <t>Available stable funding / required stable funding</t>
  </si>
  <si>
    <t>High Quality Liquid Assets (€M)</t>
  </si>
  <si>
    <t>Reported HQLA stock, predominantly Level 1 assets</t>
  </si>
  <si>
    <t>Liquidity buffer</t>
  </si>
  <si>
    <t>Strong stock; declining</t>
  </si>
  <si>
    <t>Gross customer loans / customer deposits</t>
  </si>
  <si>
    <t>Deposit Growth</t>
  </si>
  <si>
    <t>Annual change in customer deposits</t>
  </si>
  <si>
    <t>Recovered in FY2024</t>
  </si>
  <si>
    <t>REGULATORY NOTES</t>
  </si>
  <si>
    <t>BNP PARIBAS — CAPITAL ADEQUACY RATIOS</t>
  </si>
  <si>
    <t>FY 2022–FY 2024 | CRD VI / CRR3 | ECB SSM framework</t>
  </si>
  <si>
    <t>Source: BNP Paribas annual results and Pillar 3 disclosures | Capital values in €M</t>
  </si>
  <si>
    <t>REGULATORY CAPITAL SCORECARD</t>
  </si>
  <si>
    <t>CRR3 / ECB DEFINITION</t>
  </si>
  <si>
    <t>Common Equity Tier 1 (CET1)</t>
  </si>
  <si>
    <t>CET1 capital / total RWA</t>
  </si>
  <si>
    <t>Tier 1 capital / total RWA</t>
  </si>
  <si>
    <t>Total capital / total RWA</t>
  </si>
  <si>
    <t>Tier 1 capital / total exposure measure</t>
  </si>
  <si>
    <t>CAPITAL STRUCTURE &amp; RWA</t>
  </si>
  <si>
    <t>COMPONENT (€M)</t>
  </si>
  <si>
    <t>FY2024 SIGNAL</t>
  </si>
  <si>
    <t>CET1 Capital</t>
  </si>
  <si>
    <t>Additional Tier 1 (AT1 / CoCo)</t>
  </si>
  <si>
    <t>Tier 1 Capital</t>
  </si>
  <si>
    <t>Tier 2 Capital</t>
  </si>
  <si>
    <t>Total Capital</t>
  </si>
  <si>
    <t>Risk-Weighted Assets</t>
  </si>
  <si>
    <t>Credit RWA</t>
  </si>
  <si>
    <t>Market RWA</t>
  </si>
  <si>
    <t>Operational RWA</t>
  </si>
  <si>
    <t>Growing</t>
  </si>
  <si>
    <t>Recovered</t>
  </si>
  <si>
    <t>Record level</t>
  </si>
  <si>
    <t>Higher intensity</t>
  </si>
  <si>
    <t>Stable</t>
  </si>
  <si>
    <t>Increased</t>
  </si>
  <si>
    <t>FY2024 RATIO</t>
  </si>
  <si>
    <t>REFERENCE</t>
  </si>
  <si>
    <t>HEADROOM (pp)</t>
  </si>
  <si>
    <t>CET1</t>
  </si>
  <si>
    <t>Tier 1</t>
  </si>
  <si>
    <t>Leverage</t>
  </si>
  <si>
    <t>BNP PARIBAS — ASSET QUALITY RATIOS</t>
  </si>
  <si>
    <t>FY 2022–FY 2024 | IFRS 9 ECL | EBA NPL definition</t>
  </si>
  <si>
    <t>Source: BNP Paribas Pillar 3 and annual-results credit-risk disclosures | Monetary values in €M</t>
  </si>
  <si>
    <t>Credit quality improved over the period: the NPL ratio declined to 1.6%, Stage 1 and Stage 2 ECL balances fell, and total impairment reduced to €17,181M. Coverage remained adequate at 69.7%, although its gradual decline is a watchpoint.</t>
  </si>
  <si>
    <t>ASSET QUALITY SCORECARD</t>
  </si>
  <si>
    <t>EBA / IFRS 9 DEFINITION</t>
  </si>
  <si>
    <t>TARGET / BENCHMARK</t>
  </si>
  <si>
    <t>Non-Performing Loan Ratio</t>
  </si>
  <si>
    <t>90+ days past due or unlikely to pay without collateral</t>
  </si>
  <si>
    <t>Loan-loss allowances / gross Stage 3 exposure</t>
  </si>
  <si>
    <t>&gt;50%; higher is stronger</t>
  </si>
  <si>
    <t>Adequate; declining</t>
  </si>
  <si>
    <t>12-month expected credit losses</t>
  </si>
  <si>
    <t>Improving</t>
  </si>
  <si>
    <t>Lifetime ECL for increased credit risk</t>
  </si>
  <si>
    <t>Rising balance is warning</t>
  </si>
  <si>
    <t>Allowance on doubtful / non-performing assets</t>
  </si>
  <si>
    <t>Stable coverage support</t>
  </si>
  <si>
    <t>Total Financial-Asset Impairment (€M)</t>
  </si>
  <si>
    <t>Stage 1 + Stage 2 + Stage 3 allowances</t>
  </si>
  <si>
    <t>Lower is favourable if quality holds</t>
  </si>
  <si>
    <t>IMPAIRMENT MOVEMENT ANALYSIS</t>
  </si>
  <si>
    <t>Stage 1 ECL</t>
  </si>
  <si>
    <t>Stage 2 ECL</t>
  </si>
  <si>
    <t>Stage 3 Allowance</t>
  </si>
  <si>
    <t>Total Impairment</t>
  </si>
  <si>
    <t>Declining</t>
  </si>
  <si>
    <t>IFRS 9 STAGING NOTE</t>
  </si>
  <si>
    <t>Stage 1 represents performing assets subject to 12-month ECL; Stage 2 represents exposures with significantly increased credit risk and lifetime ECL; Stage 3 represents credit-impaired or non-performing exposures.</t>
  </si>
  <si>
    <t>BNP PARIBAS — EFFICIENCY RATIOS</t>
  </si>
  <si>
    <t>FY 2022–FY 2024 | Operating leverage and cost-efficiency analysis</t>
  </si>
  <si>
    <t>Efficiency improved materially in FY2024: NBI grew 6.45%, operating expenses declined 2.46%, and CIR fell to 61.83%. This generated positive operating leverage of 8.91 pp after the FY2023 deterioration.</t>
  </si>
  <si>
    <t>EFFICIENCY SCORECARD</t>
  </si>
  <si>
    <t>Total operating expenses / total NBI</t>
  </si>
  <si>
    <t>Negative = pass</t>
  </si>
  <si>
    <t>Positive growth</t>
  </si>
  <si>
    <t>Strong FY2024 growth</t>
  </si>
  <si>
    <t>Operating Expense Growth</t>
  </si>
  <si>
    <t>Current-year OpEx / prior-year OpEx − 1</t>
  </si>
  <si>
    <t>Below NBI growth</t>
  </si>
  <si>
    <t>Costs declined in FY2024</t>
  </si>
  <si>
    <t>NBI growth less OpEx growth</t>
  </si>
  <si>
    <t>&gt;0 pp</t>
  </si>
  <si>
    <t>Capex / NBI</t>
  </si>
  <si>
    <t>Capital expenditure / total NBI</t>
  </si>
  <si>
    <t>Efficient reinvestment</t>
  </si>
  <si>
    <t>Declining intensity</t>
  </si>
  <si>
    <t>TEST</t>
  </si>
  <si>
    <t>FY2024 STATUS</t>
  </si>
  <si>
    <t>COMMENT</t>
  </si>
  <si>
    <t>Operating leverage above 0 pp</t>
  </si>
  <si>
    <t>NBI growth exceeds OpEx growth</t>
  </si>
  <si>
    <t>Strong positive leverage</t>
  </si>
  <si>
    <t>Revenue outpaced costs</t>
  </si>
  <si>
    <t>BNP PARIBAS — FINANCIAL TRENDS DASHBOARD</t>
  </si>
  <si>
    <t>TREND CHARTS</t>
  </si>
  <si>
    <t>ROE</t>
  </si>
  <si>
    <t>ROTE</t>
  </si>
  <si>
    <t>BNP PARIBAS — CHART SOURCES</t>
  </si>
  <si>
    <t>FY 2022–FY 2024 | Live source ranges for the financial trends dashboard</t>
  </si>
  <si>
    <t>Edit the linked financial and ratio sheets; these values and the dashboard charts recalculate automatically.</t>
  </si>
  <si>
    <t>EARNINGS</t>
  </si>
  <si>
    <t>Series</t>
  </si>
  <si>
    <t>RETURNS</t>
  </si>
  <si>
    <t>CAPITAL</t>
  </si>
  <si>
    <t>CREDIT QUALITY</t>
  </si>
  <si>
    <t>EFFICIENCY</t>
  </si>
  <si>
    <t>Cost-to-Income Ratio</t>
  </si>
  <si>
    <t>BNP PARIBAS — NET INCOME WATERFALL</t>
  </si>
  <si>
    <t>FY 2022 → FY 2023 → FY 2024 | Income-statement driver attribution</t>
  </si>
  <si>
    <t>All values in €M | Green = positive contribution | Red = negative contribution | Grey = reported net income</t>
  </si>
  <si>
    <t>NET INCOME BRIDGE CHART</t>
  </si>
  <si>
    <t>FY 2022 → FY 2023 DRIVER TABLE</t>
  </si>
  <si>
    <t>SOURCE / INTERPRETATION</t>
  </si>
  <si>
    <t>DISPLAY LABEL</t>
  </si>
  <si>
    <t>Lower tax is positive</t>
  </si>
  <si>
    <t>WATERFALL — NET INCOME BRIDGE</t>
  </si>
  <si>
    <t>NATIVE WATERFALL SOURCE</t>
  </si>
  <si>
    <t>Value (€M)</t>
  </si>
  <si>
    <t>🔗CHART_SOURCE</t>
  </si>
  <si>
    <t>BNP PARIBAS — WORKBOOK INTEGRITY CHECKS</t>
  </si>
  <si>
    <t>FY 2022–FY 2024 | Financial audit and model-control register</t>
  </si>
  <si>
    <t>CONTROL REGISTER</t>
  </si>
  <si>
    <t>CHECK</t>
  </si>
  <si>
    <t>DESCRIPTION</t>
  </si>
  <si>
    <t>TEST / EXPECTED CONDITION</t>
  </si>
  <si>
    <t>RESULT</t>
  </si>
  <si>
    <t>TOLERANCE / LIMIT</t>
  </si>
  <si>
    <t>SOURCE</t>
  </si>
  <si>
    <t>CHECK 01</t>
  </si>
  <si>
    <t>Balance sheet FY2022 balances</t>
  </si>
  <si>
    <t>Total assets less liabilities and equity</t>
  </si>
  <si>
    <t>±€1M</t>
  </si>
  <si>
    <t>CHECK 02</t>
  </si>
  <si>
    <t>Balance sheet FY2023 balances</t>
  </si>
  <si>
    <t>CHECK 03</t>
  </si>
  <si>
    <t>Balance sheet FY2024 balances</t>
  </si>
  <si>
    <t>CHECK 04</t>
  </si>
  <si>
    <t>CHECK 05</t>
  </si>
  <si>
    <t>CHECK 06</t>
  </si>
  <si>
    <t>CHECK 07</t>
  </si>
  <si>
    <t>Variance bridge FY2022→FY2023 reconciles</t>
  </si>
  <si>
    <t>Calculated close less source close</t>
  </si>
  <si>
    <t>€0M</t>
  </si>
  <si>
    <t>CHECK 08</t>
  </si>
  <si>
    <t>Variance bridge FY2023→FY2024 reconciles</t>
  </si>
  <si>
    <t>CHECK 09</t>
  </si>
  <si>
    <t>Waterfall FY2022→FY2023 reconciles</t>
  </si>
  <si>
    <t>CHECK 10</t>
  </si>
  <si>
    <t>Waterfall FY2023→FY2024 reconciles</t>
  </si>
  <si>
    <t>CHECK 11</t>
  </si>
  <si>
    <t>CIR agrees between statement and ratio sheet</t>
  </si>
  <si>
    <t>Maximum absolute difference across three years</t>
  </si>
  <si>
    <t>≤0.01 pp</t>
  </si>
  <si>
    <t>CHECK 12</t>
  </si>
  <si>
    <t>CHECK 13</t>
  </si>
  <si>
    <t>CHECK 14</t>
  </si>
  <si>
    <t>LCR meets minimum in all years</t>
  </si>
  <si>
    <t>Minimum LCR less 100%</t>
  </si>
  <si>
    <t>≥0 pp</t>
  </si>
  <si>
    <t>CHECK 15</t>
  </si>
  <si>
    <t>NSFR meets minimum in all years</t>
  </si>
  <si>
    <t>Minimum NSFR less 100%</t>
  </si>
  <si>
    <t>CHECK 16</t>
  </si>
  <si>
    <t>Loan-to-deposit remains below 100%</t>
  </si>
  <si>
    <t>100% less maximum ratio</t>
  </si>
  <si>
    <t>CHECK 17</t>
  </si>
  <si>
    <t>NPL remains below EU reference</t>
  </si>
  <si>
    <t>2.3% less maximum NPL</t>
  </si>
  <si>
    <t>CHECK 18</t>
  </si>
  <si>
    <t>CHECK 19</t>
  </si>
  <si>
    <t>Chart source NBI agrees to income statement</t>
  </si>
  <si>
    <t>Maximum absolute difference</t>
  </si>
  <si>
    <t>CHECK 20</t>
  </si>
  <si>
    <t>Chart source NPL agrees to asset-quality sheet</t>
  </si>
  <si>
    <t>0.00 pp</t>
  </si>
  <si>
    <t>CONTROL SUMMARY</t>
  </si>
  <si>
    <t>PASS COUNT</t>
  </si>
  <si>
    <t>REVIEW COUNT</t>
  </si>
  <si>
    <t>TOTAL CHECKS</t>
  </si>
  <si>
    <t>OVERALL STATUS</t>
  </si>
  <si>
    <t>DATA SOURCE LOG</t>
  </si>
  <si>
    <t>FIGURE / AREA</t>
  </si>
  <si>
    <t>SOURCE DOCUMENT</t>
  </si>
  <si>
    <t>PAGE / SECTION</t>
  </si>
  <si>
    <t>WORKBOOK LOCATION</t>
  </si>
  <si>
    <t>NBI and Net Income FY2022</t>
  </si>
  <si>
    <t>BNP Paribas FY2022 Results</t>
  </si>
  <si>
    <t>Consolidated P&amp;L / Net income</t>
  </si>
  <si>
    <t>NBI and Net Income FY2023</t>
  </si>
  <si>
    <t>BNP Paribas FY2023 Results</t>
  </si>
  <si>
    <t>NBI and Net Income FY2024</t>
  </si>
  <si>
    <t>BNP Paribas FY2024 Results</t>
  </si>
  <si>
    <t>BNP Paribas annual financial statements</t>
  </si>
  <si>
    <t>Consolidated balance sheet</t>
  </si>
  <si>
    <t>Consolidated cash-flow statement</t>
  </si>
  <si>
    <t>ROE, ROTE and EPS</t>
  </si>
  <si>
    <t>BNP Paribas annual results</t>
  </si>
  <si>
    <t>Key indicators / per-share data</t>
  </si>
  <si>
    <t>CET1, Tier 1, Total Capital and RWA</t>
  </si>
  <si>
    <t>BNP Paribas Pillar 3 / annual results</t>
  </si>
  <si>
    <t>Capital adequacy tables</t>
  </si>
  <si>
    <t>LCR and NSFR</t>
  </si>
  <si>
    <t>BNP Paribas Pillar 3 reports</t>
  </si>
  <si>
    <t>Liquidity chapter</t>
  </si>
  <si>
    <t>NPL, Coverage and IFRS 9 allowances</t>
  </si>
  <si>
    <t>Credit-risk chapter</t>
  </si>
  <si>
    <t>CIR and Operating Leverage</t>
  </si>
  <si>
    <t>Operating efficiency metrics</t>
  </si>
  <si>
    <t>Linked workbook calculations</t>
  </si>
  <si>
    <t>Chart source schedules</t>
  </si>
  <si>
    <t>BNP PARIBAS SA — FINANCIAL ANALYSIS NOTE</t>
  </si>
  <si>
    <t>FY 2022–FY 2024 | Analyst-style performance, risk, and outlook assessment</t>
  </si>
  <si>
    <t>Prepared by Joy Lorna | Portfolio demonstration | All monetary values in €M unless stated</t>
  </si>
  <si>
    <t>EXECUTIVE ASSESSMENT</t>
  </si>
  <si>
    <t>KEY FINANCIAL SNAPSHOT</t>
  </si>
  <si>
    <t>3Y / FY2024 VIEW</t>
  </si>
  <si>
    <t>ANALYST INTERPRETATION</t>
  </si>
  <si>
    <t>6.4% FY2024 growth</t>
  </si>
  <si>
    <t>Revenue momentum strengthened</t>
  </si>
  <si>
    <t>Earnings growth outpaced revenue</t>
  </si>
  <si>
    <t>9.28% FY2024</t>
  </si>
  <si>
    <t>Improving but below stronger EU peers</t>
  </si>
  <si>
    <t>10.07% FY2024</t>
  </si>
  <si>
    <t>61.83% FY2024</t>
  </si>
  <si>
    <t>1.6% FY2024</t>
  </si>
  <si>
    <t>Better than the ~2.3% EU reference</t>
  </si>
  <si>
    <t>69.7% FY2024</t>
  </si>
  <si>
    <t>Adequate but declining</t>
  </si>
  <si>
    <t>1. EARNINGS PERFORMANCE</t>
  </si>
  <si>
    <t>2. BALANCE SHEET, FUNDING, AND LIQUIDITY</t>
  </si>
  <si>
    <t>3. CASH FLOW ASSESSMENT</t>
  </si>
  <si>
    <t>4. PROFITABILITY AND EFFICIENCY</t>
  </si>
  <si>
    <t>5. CAPITAL AND CREDIT RISK</t>
  </si>
  <si>
    <t>6. KEY RISKS AND FORWARD OUTLOOK</t>
  </si>
  <si>
    <t>CONCLUSION</t>
  </si>
  <si>
    <t>METHODOLOGY AND LIMITATIONS</t>
  </si>
  <si>
    <t>Income Statement, Balance Sheet, Cash Flow, Analyst Note</t>
  </si>
  <si>
    <t>Data Preparation:</t>
  </si>
  <si>
    <t>Workbook identity, scope, sources, and disclaimer</t>
  </si>
  <si>
    <t>Navigation index for every worksheet</t>
  </si>
  <si>
    <t>Executive KPI scorecard and key findings</t>
  </si>
  <si>
    <t>📝 ANALYST_NOTE</t>
  </si>
  <si>
    <t>PDF-ready performance narrative, risk flags, and forward outlook</t>
  </si>
  <si>
    <t>Three-year income statement and key metrics</t>
  </si>
  <si>
    <t>Three-year assets, liabilities, equity, and reconciliation</t>
  </si>
  <si>
    <t>Three-year cash-flow statement and cash review</t>
  </si>
  <si>
    <t>Year-on-year earnings attribution and reconciliation</t>
  </si>
  <si>
    <t>Profitability and return ratios</t>
  </si>
  <si>
    <t>Liquidity and funding ratios</t>
  </si>
  <si>
    <t>Regulatory capital and RWA analysis</t>
  </si>
  <si>
    <t>Credit quality and IFRS 9 analysis</t>
  </si>
  <si>
    <t>Efficiency and operating-leverage analysis</t>
  </si>
  <si>
    <t>Financial trends dashboard</t>
  </si>
  <si>
    <t>Formatted chart-source schedules</t>
  </si>
  <si>
    <t>✓ ECB SSM (Single Supervisory Mechanism) — BNP Paribas is a significant institution</t>
  </si>
  <si>
    <t>✓ SREP (Supervisory Review and Evaluation Process) — annual supervisory decision</t>
  </si>
  <si>
    <t>✓ CRD VI / CRR3 — capital and liquidity requirements</t>
  </si>
  <si>
    <t>✓ IFRS 9 — expected credit loss (ECL) model for provisions</t>
  </si>
  <si>
    <t>✓ Pillar 3 — regulatory capital and risk disclosures</t>
  </si>
  <si>
    <t>✓ TLAC / MREL — total loss-absorbing capacity requirements for a G-SIB</t>
  </si>
  <si>
    <t>137% FY2024</t>
  </si>
  <si>
    <t>Above the 100% regulatory minimum</t>
  </si>
  <si>
    <t>111.75% FY2024</t>
  </si>
  <si>
    <t>PASS = within tolerance or source-verified | REVIEW = unresolved exception | Most tests use live workbook formulas</t>
  </si>
  <si>
    <t>🏦 BALANCE_SHEET!B68</t>
  </si>
  <si>
    <t>🏦 BALANCE_SHEET!C68</t>
  </si>
  <si>
    <t>🏦 BALANCE_SHEET!D68</t>
  </si>
  <si>
    <t>💧 WATERFALL_NET_INCOME!F61</t>
  </si>
  <si>
    <t>💧 WATERFALL_NET_INCOME!F62</t>
  </si>
  <si>
    <t>📈 RATIOS_PROFITABILITY!E16</t>
  </si>
  <si>
    <t>📈 RATIOS_LIQUIDITY!C8:E8</t>
  </si>
  <si>
    <t>📈 RATIOS_LIQUIDITY!C9:E9</t>
  </si>
  <si>
    <t>📈 RATIOS_LIQUIDITY!C11:E11</t>
  </si>
  <si>
    <t>📈 RATIOS_ASSET_QUALITY!C8:E8</t>
  </si>
  <si>
    <t>📈 RATIOS_EFFICIENCY!E8</t>
  </si>
  <si>
    <t>🔗CHART_SOURCE!B7:D7</t>
  </si>
  <si>
    <t>🔗CHART_SOURCE!B22:D22</t>
  </si>
  <si>
    <t>Balance sheet totals</t>
  </si>
  <si>
    <t>Cash flow</t>
  </si>
  <si>
    <t>Trend and waterfall charts</t>
  </si>
  <si>
    <t xml:space="preserve">    Net income from investing activities</t>
  </si>
  <si>
    <t xml:space="preserve">    Net income (expense) from financing activities</t>
  </si>
  <si>
    <t>DATASET SOURCES — OFFICIAL BNP PARIBAS PDF DOCUMENTS</t>
  </si>
  <si>
    <t>Consolidated Financial Statements — Year ended 31 December 2022 (annual, audited) — https://invest.bnpparibas/document/4q22-consolidated-financial-statements-annual-audited</t>
  </si>
  <si>
    <t>2022 Full-Year Results — Slides — https://invest.bnpparibas/document/4q22-slides</t>
  </si>
  <si>
    <t>Universal Registration Document and Annual Financial Report 2022 — includes Pillar 3 risk reports — https://invest.bnpparibas/document/universal-registration-document-2022</t>
  </si>
  <si>
    <t>Consolidated Financial Statements — Year ended 31 December 2023 (annual, audited) — https://invest.bnpparibas/document/4q23-consolidated-financial-statements-annual-audited</t>
  </si>
  <si>
    <t>Results as at 31 December 2023 — Press release — https://invest.bnpparibas/document/4q23-pr</t>
  </si>
  <si>
    <t>2023 Full-Year Results — Slides — https://invest.bnpparibas/document/4q23-slides</t>
  </si>
  <si>
    <t>Universal Registration Document and Annual Financial Report 2023 — includes Pillar 3 risk reports — https://invest.bnpparibas/document/universal-registration-document-annual-financial-report-2023-pdf</t>
  </si>
  <si>
    <t>Consolidated Financial Statements — Year ended 31 December 2024 (unaudited figures) — https://invest.bnpparibas/document/4q24-cfsu</t>
  </si>
  <si>
    <t>Fourth-Quarter and Full-Year 2024 Results — Press release — https://invest.bnpparibas/document/4q24-pr</t>
  </si>
  <si>
    <t>Fourth-Quarter and 2024 Full-Year Results — Slides — https://invest.bnpparibas/document/4q24-slides</t>
  </si>
  <si>
    <t>Universal Registration Document and Annual Financial Report 2024 — includes Pillar 3 risk reports and audited figures — https://invest.bnpparibas/document/universal-registration-document-annual-financial-report-2024-pdf</t>
  </si>
  <si>
    <t>Net Fee &amp; Commission Income</t>
  </si>
  <si>
    <t>Net Trading Income</t>
  </si>
  <si>
    <t>Depreciation &amp; Amortisation</t>
  </si>
  <si>
    <t>Net Income 2-Year CAGR (FY22–FY24)</t>
  </si>
  <si>
    <t>Net Income 2-Year CAGR (FY22–FY24) formula is valid</t>
  </si>
  <si>
    <t>Recalculated 2-year CAGR less profitability result</t>
  </si>
  <si>
    <t>BNP PARIBAS — SOURCE REGISTER</t>
  </si>
  <si>
    <t>Metric-level traceability for FY2022–FY2024 workbook figures</t>
  </si>
  <si>
    <t>BNP PARIBAS — IFRS 17 / IFRS 9 RESTATEMENT NOTE</t>
  </si>
  <si>
    <t>Reported versus restated FY2022 key figures</t>
  </si>
  <si>
    <t>BNP Paribas adopted IFRS 17 and related insurance IFRS 9 changes from 1 January 2023 and presented selected FY2022 restated comparatives. This schedule documents the evidenced differences used to assess comparability.</t>
  </si>
  <si>
    <t>BNP PARIBAS — RATIO DICTIONARY</t>
  </si>
  <si>
    <t>Definitions and interpretation for core banking ratios</t>
  </si>
  <si>
    <t>Definitions support interview defence and consistent interpretation. Regulatory ratios are distinguished from management or analytical measures.</t>
  </si>
  <si>
    <t>BNP PARIBAS — DATA DICTIONARY</t>
  </si>
  <si>
    <t>Definitions, units, and source families for core fields</t>
  </si>
  <si>
    <t>This dictionary standardises banking terminology used throughout the financial statements, ratio schedules, charts, and controls.</t>
  </si>
  <si>
    <t>BNP PARIBAS — ASSUMPTIONS &amp; BENCHMARKS</t>
  </si>
  <si>
    <t>Central register of external sector references and analytical comparisons</t>
  </si>
  <si>
    <t>Benchmarks are comparison points, not BNP-specific requirements or forecasts. No SREP threshold is inferred unless directly evidenced by a supervisory disclosure.</t>
  </si>
  <si>
    <t>BNP PARIBAS — WORKBOOK METHODOLOGY</t>
  </si>
  <si>
    <t>Scope, data collection, analytical approach, and limitations</t>
  </si>
  <si>
    <t>This one-page methodology defines what the workbook covers, how figures were collected, and what conclusions should not be drawn from the analysis.</t>
  </si>
  <si>
    <t>Metric</t>
  </si>
  <si>
    <t>Source Document</t>
  </si>
  <si>
    <t>Year</t>
  </si>
  <si>
    <t>Report Section</t>
  </si>
  <si>
    <t>Workbook Sheet</t>
  </si>
  <si>
    <t>Cell Reference</t>
  </si>
  <si>
    <t>Net Banking Income</t>
  </si>
  <si>
    <t>D15</t>
  </si>
  <si>
    <t>D41</t>
  </si>
  <si>
    <t>B41</t>
  </si>
  <si>
    <t>IFRS17_RESTATEMENT_NOTE</t>
  </si>
  <si>
    <t>C9</t>
  </si>
  <si>
    <t>LCR</t>
  </si>
  <si>
    <t>NSFR</t>
  </si>
  <si>
    <t>Total Assets</t>
  </si>
  <si>
    <t>D31</t>
  </si>
  <si>
    <t>Line Item</t>
  </si>
  <si>
    <t>Reported FY2022</t>
  </si>
  <si>
    <t>Restated FY2022</t>
  </si>
  <si>
    <t>Difference</t>
  </si>
  <si>
    <t>Material to Analysis?</t>
  </si>
  <si>
    <t>Comments</t>
  </si>
  <si>
    <t>Revenues / NBI (€M)</t>
  </si>
  <si>
    <t>No difference in the 2024 URD key-figures table.</t>
  </si>
  <si>
    <t>Gross Operating Income (€M)</t>
  </si>
  <si>
    <t>Ratio</t>
  </si>
  <si>
    <t>Formula</t>
  </si>
  <si>
    <t>Interpretation</t>
  </si>
  <si>
    <t>Source</t>
  </si>
  <si>
    <t>Notes</t>
  </si>
  <si>
    <t>Shareholder return generated from average equity.</t>
  </si>
  <si>
    <t>BNP annual results / analytical calculation</t>
  </si>
  <si>
    <t>Average-balance methodology; not a regulatory ratio.</t>
  </si>
  <si>
    <t>Return generated on equity excluding goodwill and intangibles.</t>
  </si>
  <si>
    <t>Definitions can differ between issuers; use consistently.</t>
  </si>
  <si>
    <t>ROA</t>
  </si>
  <si>
    <t>Profitability relative to the balance-sheet asset base.</t>
  </si>
  <si>
    <t>Analytical calculation from financial statements</t>
  </si>
  <si>
    <t>Low absolute percentages are normal for banks.</t>
  </si>
  <si>
    <t>NIM</t>
  </si>
  <si>
    <t>Yield spread earned on interest-bearing assets after funding cost.</t>
  </si>
  <si>
    <t>BNP financial statements / analytical calculation</t>
  </si>
  <si>
    <t>Sensitive to earning-asset definition and average balances.</t>
  </si>
  <si>
    <t>CIR</t>
  </si>
  <si>
    <t>Operating expenses / net banking income</t>
  </si>
  <si>
    <t>Cost efficiency; lower is generally better.</t>
  </si>
  <si>
    <t>Workbook 66% level is an analytical comparison, not a rule.</t>
  </si>
  <si>
    <t>Credit loss charge expressed in basis points.</t>
  </si>
  <si>
    <t>BNP annual results</t>
  </si>
  <si>
    <t>High-quality liquid assets / 30-day stressed net cash outflows</t>
  </si>
  <si>
    <t>Short-term liquidity resilience under stress.</t>
  </si>
  <si>
    <t>CRR Article 412 / LCR Delegated Act</t>
  </si>
  <si>
    <t>Regulatory minimum 100%.</t>
  </si>
  <si>
    <t>Structural funding resilience over a one-year horizon.</t>
  </si>
  <si>
    <t>CRR2 / BNP Pillar 3</t>
  </si>
  <si>
    <t>CET1 capital / risk-weighted assets</t>
  </si>
  <si>
    <t>Highest-quality regulatory capital relative to risk exposure.</t>
  </si>
  <si>
    <t>CRR / BNP Pillar 3</t>
  </si>
  <si>
    <t>No BNP-specific SREP threshold is asserted in this workbook.</t>
  </si>
  <si>
    <t>Non-risk-based capital backstop.</t>
  </si>
  <si>
    <t>3% regulatory reference floor used for comparison.</t>
  </si>
  <si>
    <t>Non-performing loans / gross loans and advances</t>
  </si>
  <si>
    <t>Share of lending classified as non-performing.</t>
  </si>
  <si>
    <t>EBA definition / BNP credit-risk disclosure</t>
  </si>
  <si>
    <t>Compare definitions before peer analysis.</t>
  </si>
  <si>
    <t>Stage 3 allowances / gross Stage 3 exposure</t>
  </si>
  <si>
    <t>Loss-absorption buffer against non-performing exposures.</t>
  </si>
  <si>
    <t>BNP credit-risk disclosure</t>
  </si>
  <si>
    <t>Collateral practices affect cross-bank comparability.</t>
  </si>
  <si>
    <t>Field</t>
  </si>
  <si>
    <t>Definition</t>
  </si>
  <si>
    <t>Unit</t>
  </si>
  <si>
    <t>NBI</t>
  </si>
  <si>
    <t>Net banking income: operating revenue after netting interest, fees, trading, and other banking activities.</t>
  </si>
  <si>
    <t>€M</t>
  </si>
  <si>
    <t>BNP consolidated income statement</t>
  </si>
  <si>
    <t>Banking equivalent of top-line operating revenue.</t>
  </si>
  <si>
    <t>NII</t>
  </si>
  <si>
    <t>Net interest income earned from interest-bearing assets less interest expense.</t>
  </si>
  <si>
    <t>Distinct from NIM, which is a ratio.</t>
  </si>
  <si>
    <t>HQLA</t>
  </si>
  <si>
    <t>High-quality liquid assets eligible for the liquidity buffer.</t>
  </si>
  <si>
    <t>BNP Pillar 3 liquidity disclosure</t>
  </si>
  <si>
    <t>Predominantly Level 1 assets.</t>
  </si>
  <si>
    <t>RWA</t>
  </si>
  <si>
    <t>Risk-weighted assets used as the denominator for risk-based capital ratios.</t>
  </si>
  <si>
    <t>BNP Pillar 3 capital disclosure</t>
  </si>
  <si>
    <t>Includes credit, market, and operational risk.</t>
  </si>
  <si>
    <t>Common Equity Tier 1 capital, the highest-quality regulatory capital.</t>
  </si>
  <si>
    <t>€M / %</t>
  </si>
  <si>
    <t>Amount when in €M; ratio when divided by RWA.</t>
  </si>
  <si>
    <t>12-month expected credit loss on performing exposures without significant credit deterioration.</t>
  </si>
  <si>
    <t>BNP IFRS 9 credit-risk disclosure</t>
  </si>
  <si>
    <t>Performing book allowance.</t>
  </si>
  <si>
    <t>Lifetime expected credit loss on exposures with significant increase in credit risk.</t>
  </si>
  <si>
    <t>Migration is an early-warning indicator.</t>
  </si>
  <si>
    <t>Stage 3 ECL</t>
  </si>
  <si>
    <t>Allowance on credit-impaired or non-performing exposures.</t>
  </si>
  <si>
    <t>Used in coverage analysis.</t>
  </si>
  <si>
    <t>Liquidity coverage ratio for a 30-day stress horizon.</t>
  </si>
  <si>
    <t>%</t>
  </si>
  <si>
    <t>Minimum 100%.</t>
  </si>
  <si>
    <t>Net stable funding ratio over a one-year horizon.</t>
  </si>
  <si>
    <t>Measure</t>
  </si>
  <si>
    <t>Benchmark</t>
  </si>
  <si>
    <t>Date</t>
  </si>
  <si>
    <t>ECB Supervisory Banking Statistics — significant institutions</t>
  </si>
  <si>
    <t>2024 Q2</t>
  </si>
  <si>
    <t>Sector aggregate; comparison only.</t>
  </si>
  <si>
    <t>Sector aggregate; country mix varies.</t>
  </si>
  <si>
    <t>Excludes cash balances and other demand deposits.</t>
  </si>
  <si>
    <t>Sector aggregate; not BNP’s requirement.</t>
  </si>
  <si>
    <t>Basis points; sector aggregate.</t>
  </si>
  <si>
    <t>EBA Risk Dashboard — EU/EEA banks</t>
  </si>
  <si>
    <t>2024 Q3</t>
  </si>
  <si>
    <t>Sample aggregate; comparison only.</t>
  </si>
  <si>
    <t>Sample aggregate.</t>
  </si>
  <si>
    <t>Fully loaded aggregate.</t>
  </si>
  <si>
    <t>Sector aggregate; regulatory minimum remains 100%.</t>
  </si>
  <si>
    <t>Internal analytical comparison</t>
  </si>
  <si>
    <t>FY2024 review</t>
  </si>
  <si>
    <t>Not a regulatory requirement or external target.</t>
  </si>
  <si>
    <t>CET1 SREP threshold</t>
  </si>
  <si>
    <t>Not asserted</t>
  </si>
  <si>
    <t>No evidenced BNP-specific supervisory disclosure in workbook</t>
  </si>
  <si>
    <t>As reviewed 2026-08-25</t>
  </si>
  <si>
    <t>Regulatory reference levels used for analytical comparison only.</t>
  </si>
  <si>
    <t>Methodology Area</t>
  </si>
  <si>
    <t>Workbook Approach</t>
  </si>
  <si>
    <t>Scope</t>
  </si>
  <si>
    <t>BNP Paribas SA consolidated Group; not a standalone review of BGL BNP Paribas SA.</t>
  </si>
  <si>
    <t>Years</t>
  </si>
  <si>
    <t>FY2022–FY2024</t>
  </si>
  <si>
    <t>Accounting Framework</t>
  </si>
  <si>
    <t>Currency</t>
  </si>
  <si>
    <t>EUR millions unless stated otherwise.</t>
  </si>
  <si>
    <t>Data Collection</t>
  </si>
  <si>
    <t>Manual extraction from official BNP Paribas annual reports, results releases, slides, and Pillar 3 disclosures.</t>
  </si>
  <si>
    <t>Analysis Type</t>
  </si>
  <si>
    <t>Historical financial-statement analysis, ratio analysis, variance bridges, and control checks.</t>
  </si>
  <si>
    <t>Validation</t>
  </si>
  <si>
    <t>Live formula reconciliations plus source-document comparison; see SOURCE_REGISTER and 🔍 CHECKS.</t>
  </si>
  <si>
    <t>Entity Relevance</t>
  </si>
  <si>
    <t>Selected for Luxembourg relevance through BNP Paribas Group operations including BGL BNP Paribas; analysis remains Group-consolidated.</t>
  </si>
  <si>
    <t>LIMITATIONS</t>
  </si>
  <si>
    <t>Annual data only</t>
  </si>
  <si>
    <t>No forecasts or consensus estimates</t>
  </si>
  <si>
    <t>No valuation analysis</t>
  </si>
  <si>
    <t>No stress testing</t>
  </si>
  <si>
    <t>Regulatory comparison only; no SREP threshold asserted</t>
  </si>
  <si>
    <t>Regulatory comparison only</t>
  </si>
  <si>
    <t>Strong reported capital ratio; no SREP threshold asserted</t>
  </si>
  <si>
    <t>Capital remains a core strength. FY2024 CET1 was 12.87%; regulatory reference levels are used for analytical comparison only, and no BNP-specific SREP threshold is asserted. Tier 1, total capital, and leverage ratios also remain above their stated comparison levels. RWA rose to €762,247M in FY2024, explaining why capital ratios moderated from FY2023 despite higher capital balances. Credit quality improved as NPL declined to 1.6%, while coverage fell from 72.5% to 69.7%, leaving less protection if macroeconomic conditions weaken.</t>
  </si>
  <si>
    <t>Analytical comparison only</t>
  </si>
  <si>
    <t>No SREP threshold asserted</t>
  </si>
  <si>
    <t>FY2024 CAPITAL COMPARISON</t>
  </si>
  <si>
    <t>REFERENCE ONLY</t>
  </si>
  <si>
    <t>CET1 agrees between capital and summary sheets</t>
  </si>
  <si>
    <t>CONTROL OWNER</t>
  </si>
  <si>
    <t>VALIDATION METHOD</t>
  </si>
  <si>
    <t>LAST REVIEWED</t>
  </si>
  <si>
    <t>Formula reconciliation</t>
  </si>
  <si>
    <t>Cross-statement formula reconciliation</t>
  </si>
  <si>
    <t>Manual comparison to official FY2023 source</t>
  </si>
  <si>
    <t>Manual comparison to official FY2024 source</t>
  </si>
  <si>
    <t>Bridge formula reconciliation</t>
  </si>
  <si>
    <t>Waterfall formula reconciliation</t>
  </si>
  <si>
    <t>Cross-sheet ratio agreement</t>
  </si>
  <si>
    <t>Independent formula recalculation</t>
  </si>
  <si>
    <t>Regulatory minimum comparison</t>
  </si>
  <si>
    <t>Analytical funding comparison</t>
  </si>
  <si>
    <t>ECB 2024 Q2 sector-reference comparison</t>
  </si>
  <si>
    <t>Cross-sheet chart-source agreement</t>
  </si>
  <si>
    <t>ECB Q2 2024 aggregate: 10.11%</t>
  </si>
  <si>
    <t>ECB range varies; see BENCHMARKS</t>
  </si>
  <si>
    <t>ECB Q2 2024 aggregate: 1.61%</t>
  </si>
  <si>
    <t>ECB Q2 2024 aggregate: 2.30%</t>
  </si>
  <si>
    <t>ECB Q2 2024 aggregate: 47 bps</t>
  </si>
  <si>
    <t>SOURCE_REGISTER</t>
  </si>
  <si>
    <t>Reported versus restated FY2022 evidence and live differences</t>
  </si>
  <si>
    <t>RATIO_DICTIONARY</t>
  </si>
  <si>
    <t>Definitions, formulas, interpretation, and ratio-source notes</t>
  </si>
  <si>
    <t>DATA_DICTIONARY</t>
  </si>
  <si>
    <t>Core banking fields, units, sources, and comments</t>
  </si>
  <si>
    <t>BENCHMARKS</t>
  </si>
  <si>
    <t>External sector references and analytical-comparison register</t>
  </si>
  <si>
    <t>WORKBOOK_METHODOLOGY</t>
  </si>
  <si>
    <t>Scope, framework, collection method, validation, and limitations</t>
  </si>
  <si>
    <t>FY2024 delivered stronger earnings and efficiency: NBI reached €48,831M, net income rose to €11,688M, and CIR improved to 61.83%. ROE and ROTE continued to rise, CET1 remained strong on an analytical-comparison basis, and the NPL ratio improved to 1.6%. The principal watchpoints are lower NIM, declining NPL coverage, and capital ratios moderating from FY2023 peaks. No BNP-specific SREP threshold is asserted.</t>
  </si>
  <si>
    <t>Page-level references are recorded where confirmed in the official indexed document. Where the index exposes the metric and report section but not the printed page, the evidence status states this explicitly; no page number is inferred.</t>
  </si>
  <si>
    <t>SOURCE URL</t>
  </si>
  <si>
    <t>EVIDENCE STATUS</t>
  </si>
  <si>
    <t>https://invest.bnpparibas/en/document/universal-registration-document-annual-financial-report-2024-pdf</t>
  </si>
  <si>
    <t>https://invest.bnpparibas/en/document/4q24-cfsu</t>
  </si>
  <si>
    <t>Below 66% analytical comparison</t>
  </si>
  <si>
    <t>CIR improved to 61.8% in FY2024 from 67.5% in FY2023, moving below the 66% analytical comparison.</t>
  </si>
  <si>
    <t>Analytical comparison: cost-to-income ratio below 66% | Positive operating leverage above 0 pp</t>
  </si>
  <si>
    <t>COMPARISON</t>
  </si>
  <si>
    <t>Below comparison in FY2024</t>
  </si>
  <si>
    <t>CIR vs 66% Comparison (pp)</t>
  </si>
  <si>
    <t>CIR less 66.0% analytical comparison</t>
  </si>
  <si>
    <t>COMPARISON ASSESSMENT</t>
  </si>
  <si>
    <t>CIR below 66% analytical comparison</t>
  </si>
  <si>
    <t>CIR moved below comparison</t>
  </si>
  <si>
    <t>Analytical Comparison (66%)</t>
  </si>
  <si>
    <t>FY2024 CIR is below 66% analytical comparison</t>
  </si>
  <si>
    <t>66% comparison less FY2024 CIR</t>
  </si>
  <si>
    <t>ECB Q2 2024 NPL Reference</t>
  </si>
  <si>
    <t>CHECK 21</t>
  </si>
  <si>
    <t>Source register required fields complete</t>
  </si>
  <si>
    <t>No blank metric, document, year, reference, workbook sheet, cell, URL, or evidence-status fields</t>
  </si>
  <si>
    <t>CHECK 22</t>
  </si>
  <si>
    <t>Ratio and data dictionaries complete</t>
  </si>
  <si>
    <t>Required ratio count = 12 and required field count ≥ 8</t>
  </si>
  <si>
    <t>CHECK 23</t>
  </si>
  <si>
    <t>IFRS 17 restatement calculations complete</t>
  </si>
  <si>
    <t>All difference and materiality cells populated</t>
  </si>
  <si>
    <t>0 blanks</t>
  </si>
  <si>
    <t>≥0</t>
  </si>
  <si>
    <t>RATIO_DICTIONARY and DATA_DICTIONARY</t>
  </si>
  <si>
    <t>IFRS17_RESTATEMENT_NOTE!D7:E10</t>
  </si>
  <si>
    <t>Required-field completeness test</t>
  </si>
  <si>
    <t>Required-entry count test</t>
  </si>
  <si>
    <t>Formula-population test</t>
  </si>
  <si>
    <t>23 live integrity, documentation, and source-completeness controls</t>
  </si>
  <si>
    <t>Metric-level document, page/section, URL, status, sheet, and cell traceability</t>
  </si>
  <si>
    <t>PAGE / EVIDENCE LOCATION</t>
  </si>
  <si>
    <t>v2.2</t>
  </si>
  <si>
    <t xml:space="preserve">Results as at 31 December 2022 — Press release — https://invest.bnpparibas/document/4q22-pr </t>
  </si>
  <si>
    <t>CET1 closed FY2024 at 12.87%. Regulatory reference levels are used for analytical comparison only; this workbook does not assert a BNP-specific SREP threshold.</t>
  </si>
  <si>
    <t>FY2022 reported revenues were €50,419M and restated revenues were €45,430M following the IFRS 17/9 presentation transition. Analytical comparisons use the restated figure.</t>
  </si>
  <si>
    <t>Reported versus IFRS 17/9 restated comparative basis.</t>
  </si>
  <si>
    <t>FY 2022 Restated</t>
  </si>
  <si>
    <t>Other net losses for risk on financial instruments</t>
  </si>
  <si>
    <t>TOTAL RISK-RELATED CHARGES</t>
  </si>
  <si>
    <t>NET INCOME FROM CONTINUING ACTIVITIES</t>
  </si>
  <si>
    <t>Net income from discontinued activities</t>
  </si>
  <si>
    <t>NET INCOME</t>
  </si>
  <si>
    <t>Net income attributable to minority interests</t>
  </si>
  <si>
    <t>NET INCOME ATTRIBUTABLE TO EQUITY HOLDERS</t>
  </si>
  <si>
    <t>BNP PARIBAS — ANALYTICAL INPUTS</t>
  </si>
  <si>
    <t>Visible denominator inputs supporting ROE, ROTE, ROA, and NIM calculations</t>
  </si>
  <si>
    <t>AVERAGE-BALANCE DENOMINATORS</t>
  </si>
  <si>
    <t>Period</t>
  </si>
  <si>
    <t>Value</t>
  </si>
  <si>
    <t>Page / Section</t>
  </si>
  <si>
    <t>Purpose</t>
  </si>
  <si>
    <t>Source URL</t>
  </si>
  <si>
    <t>Average total equity</t>
  </si>
  <si>
    <t>FY2022</t>
  </si>
  <si>
    <t>BNP Paribas FY2022 annual report</t>
  </si>
  <si>
    <t>Consolidated balance sheet — opening and closing total equity</t>
  </si>
  <si>
    <t>ROE denominator</t>
  </si>
  <si>
    <t>https://invest.bnpparibas/en/document/universal-registration-document-2022</t>
  </si>
  <si>
    <t>FY2023</t>
  </si>
  <si>
    <t>BNP Paribas FY2023 annual report</t>
  </si>
  <si>
    <t>https://invest.bnpparibas/en/document/universal-registration-document-annual-financial-report-2023-pdf</t>
  </si>
  <si>
    <t>FY2024</t>
  </si>
  <si>
    <t>BNP Paribas FY2024 annual report</t>
  </si>
  <si>
    <t>Average tangible equity</t>
  </si>
  <si>
    <t>Equity less goodwill and intangible assets — analytical average</t>
  </si>
  <si>
    <t>ROTE denominator</t>
  </si>
  <si>
    <t>Average total assets</t>
  </si>
  <si>
    <t>Consolidated balance sheet — opening and closing total assets</t>
  </si>
  <si>
    <t>ROA denominator</t>
  </si>
  <si>
    <t>Average earning assets</t>
  </si>
  <si>
    <t>Customer and bank loans plus debt securities — analytical average</t>
  </si>
  <si>
    <t>NIM denominator</t>
  </si>
  <si>
    <t>CONTROL NOTE</t>
  </si>
  <si>
    <t>Values reproduce the denominator assumptions previously embedded in profitability formulas. Sources identify the annual-report balance-sheet sections used for opening/closing balances; the analytical average and tangible/earning-asset transformations are now visible and reviewable.</t>
  </si>
  <si>
    <t>Improving; no external benchmark assessed</t>
  </si>
  <si>
    <t>Tangible equity equals shareholders’ equity less goodwill and intangible assets. Earning assets comprise customer and bank loans plus debt securities at amortised cost and FVOCI. Average-balance denominators and their annual-report source sections are documented in ANALYTICAL_INPUTS.</t>
  </si>
  <si>
    <t>Profitability improved across the period: ROE reached 9.28%, ROTE exceeded 10%, and net income margin rose from 21.68% to 23.94%. The key watchpoint is NIM compression from 2.07% to 1.77%, although NII returned to growth in FY2024.</t>
  </si>
  <si>
    <t>The earnings profile strengthened through FY2024, with rising returns, margins, and EPS. On the consistent restated basis, net income grew at an 8.94% two-year CAGR. Continued NIM compression means future growth must increasingly rely on fees, trading, cost discipline, and balance-sheet efficiency.</t>
  </si>
  <si>
    <t>BNP-reported Cost of Risk for the period</t>
  </si>
  <si>
    <t>Reported Cost of Risk</t>
  </si>
  <si>
    <t>Standard definition; +3.2% in FY2024</t>
  </si>
  <si>
    <t>BNP-reported Cost of Risk in basis points</t>
  </si>
  <si>
    <t>Below ECB Q2 2024 sector reference</t>
  </si>
  <si>
    <t>Standard Cost of Risk; +3.2% in FY2024</t>
  </si>
  <si>
    <t>Other net risk losses (€M)</t>
  </si>
  <si>
    <t>Declined substantially in FY2024</t>
  </si>
  <si>
    <t>Net Income — Equity Holders (€M)</t>
  </si>
  <si>
    <t>Improving; no external target assessed</t>
  </si>
  <si>
    <t>Net income attributable to equity holders increased from €9,848M in restated FY2022 to €11,688M in FY2024, an 8.9% two-year CAGR. FY2024 combined 6.4% NBI growth with lower operating expenses; standard Cost of Risk increased slightly, while other net risk losses declined substantially. Capital and liquidity ratios remained above the regulatory or analytical comparison levels explicitly assessed in this workbook, while NPLs improved to 1.6%.</t>
  </si>
  <si>
    <t>ANALYTICAL_INPUTS</t>
  </si>
  <si>
    <t>Visible sourced denominator inputs for profitability ratios</t>
  </si>
  <si>
    <t>24 worksheets | Financial statements, analyst note, ratios, analytical bridges, charts, sources, controls, and audit documentation</t>
  </si>
  <si>
    <t>Opening net income FY2022 (restated)</t>
  </si>
  <si>
    <t>Cost of Risk effect</t>
  </si>
  <si>
    <t>Other net losses for risk on financial instruments effect</t>
  </si>
  <si>
    <t>Restated</t>
  </si>
  <si>
    <t>Reported</t>
  </si>
  <si>
    <t>Lower expenses = positive</t>
  </si>
  <si>
    <t>Lower Cost of Risk = positive</t>
  </si>
  <si>
    <t>Lower other net risk losses = positive</t>
  </si>
  <si>
    <t>Net income increased by €1,127M in FY2023 and €713M in FY2024. FY2023 standard Cost of Risk improved by €96M but other net risk losses added a €775M charge; FY2024 standard Cost of Risk increased by €92M while other net risk losses improved by €573M.</t>
  </si>
  <si>
    <t>Lower expenses are positive</t>
  </si>
  <si>
    <t>Lower Cost of Risk is positive</t>
  </si>
  <si>
    <t>Lower other net risk losses are positive</t>
  </si>
  <si>
    <t>FY2022→FY2023 reconciliation</t>
  </si>
  <si>
    <t>FY2023→FY2024 reconciliation</t>
  </si>
  <si>
    <t>Net income increased from €9,848M in restated FY2022 to €11,688M in FY2024, an 8.9% two-year CAGR. Standard Cost of Risk improved in FY2023 and increased slightly in FY2024, while other net risk losses declined from €775M to €202M.</t>
  </si>
  <si>
    <t>FY2024 earnings growth was supported by broad revenue recovery and lower operating expenses. Standard Cost of Risk increased by €92M, but other net risk losses improved by €573M, making the combined risk-charge contribution positive. Discontinued operations and minority interests remained the largest reconciliation offset.</t>
  </si>
  <si>
    <t>Driver</t>
  </si>
  <si>
    <t>WATERFALL HELPERS</t>
  </si>
  <si>
    <t>Running Balance</t>
  </si>
  <si>
    <t>Increase</t>
  </si>
  <si>
    <t>Decrease</t>
  </si>
  <si>
    <t>🧮VARIANCE BRIDGE!B21</t>
  </si>
  <si>
    <t>🧮VARIANCE BRIDGE!B38</t>
  </si>
  <si>
    <t>📄 INCOME_STATEMENT!B48:D48 vs 📈 RATIOS_EFFICIENCY!C8:E8</t>
  </si>
  <si>
    <t>📈 RATIOS_CAPITAL!E8 vs 📊 EXECUTIVE_SUMMARY!D29</t>
  </si>
  <si>
    <t>IFRS (as adopted by EU, including IFRS 9 and IFRS 17 where applicable)</t>
  </si>
  <si>
    <t>ECB SSM / SREP, CRR3 / CRD VI, IFRS 9 / IFRS 17, Pillar 3</t>
  </si>
  <si>
    <t>Manual extraction from official BNP PDFs; standardised and source-verified in Excel. FY2022 analytical figures use BNP Paribas’ IFRS 17/9 restated comparative basis where applicable and are presented consistently with FY2023–FY2024. Reported-versus-restated differences are documented in IFRS17_RESTATEMENT_NOTE.</t>
  </si>
  <si>
    <t>✓ IFRS 17 — insurance accounting and FY2022 restated comparative presentation</t>
  </si>
  <si>
    <t>LCR (&gt;100% minimum), NSFR, Loan-to-Deposit Ratio, HQLA</t>
  </si>
  <si>
    <t>NPL Ratio, Stage 1/2/3 ECL, Coverage Ratio, Cost of Risk</t>
  </si>
  <si>
    <t>CIR, Operating Leverage</t>
  </si>
  <si>
    <t>Deposits exceed customer loans</t>
  </si>
  <si>
    <t>BNP Paribas exited FY2024 with stronger earnings, improved efficiency, and sound liquidity. Reported capital ratios remained above the stated comparison levels used in this workbook. The main watchpoints are NIM compression, returns below stronger European benchmarks, and the gradual decline in NPL coverage.</t>
  </si>
  <si>
    <t>Positive trajectory; no external target assessed</t>
  </si>
  <si>
    <t>Below the 66% analytical comparison</t>
  </si>
  <si>
    <t>Revenue was broadly stable in FY2023 before accelerating in FY2024. NBI increased from €45,430M in restated FY2022 to €48,831M in FY2024. NII declined 9.0% in FY2023 and recovered 2.4% in FY2024, while fees and trading strengthened. Operating expenses fell 2.5% in FY2024. Standard Cost of Risk increased from €2,907M to €2,999M, but other net risk losses declined from €775M to €202M; together these movements supported the 37.4% rise in operating income.</t>
  </si>
  <si>
    <t>ROE improved from 8.24% on the restated FY2022 basis to 9.28%, ROTE from 8.90% to 10.07%, and EPS from €7.52 to €9.57. Net income margin increased from 21.68% to 23.94%. CIR improved to 61.83% in FY2024, below the workbook’s 66% analytical comparison, while NIM declined from 2.07% to 1.77%.</t>
  </si>
  <si>
    <t>Base case: earnings remain resilient but may grow more slowly if lower policy rates pressure NII. Fee and trading income, cost discipline, and controlled credit costs could partly offset that effect. The key forward-looking sensitivities are continued NIM pressure, Stage 2/3 migration, coverage, RWA growth, and liquidity-buffer trends; these are analytical scenarios rather than sourced BNP forecasts.</t>
  </si>
  <si>
    <t>BNP Paribas presents a sound mid-cycle banking profile with improving profitability, reported capital ratios above the stated comparison levels, liquidity ratios above 100%, better NPL performance, and a clear FY2024 efficiency recovery. Key monitoring indicators are NIM, CIR, NPL coverage, RWA growth, CET1, and HQLA.</t>
  </si>
  <si>
    <t>Liquidity ratios remained above the 100% regulatory minimum throughout the period. FY2024 LCR closed at 137% and NSFR at 111.75%, while customer deposits exceeded customer loans; HQLA declined to €380,615M.</t>
  </si>
  <si>
    <t>LCR and NSFR are assessed against the 100% minimum. A loan-to-deposit ratio below 100% supports a deposit-funded customer lending profile, although it does not capture the full funding structure of the Group.</t>
  </si>
  <si>
    <t>BNP Paribas maintains liquidity ratios above the stated minimum and customer deposits above customer loans. The principal watchpoint is the decline in HQLA from €454,812M to €380,615M and the moderation of NSFR.</t>
  </si>
  <si>
    <t>REGULATORY REFERENCE USED</t>
  </si>
  <si>
    <t>10.5% base reference</t>
  </si>
  <si>
    <t>12.5% base reference</t>
  </si>
  <si>
    <t>3.0% leverage reference</t>
  </si>
  <si>
    <t>BNP Paribas reported capital ratios above the stated comparison levels across the period. FY2024 CET1 was 12.87% and leverage 4.62%. These are analytical regulatory references only; no BNP-specific SREP threshold or complete applicable requirement is asserted.</t>
  </si>
  <si>
    <t>FY2024 delivered stronger revenue, lower expenses, positive operating leverage, and a CIR below the workbook’s 66% analytical comparison. The key forward-looking sensitivity is continued NIM pressure and the ability to maintain positive operating leverage.</t>
  </si>
  <si>
    <t>BNP Paribas’ credit-risk profile improved through FY2024, with lower NPLs and falling early-stage ECL balances. Cost of Risk was 33 bps versus the ECB Q2 2024 sector reference of 47 bps; declining coverage warrants continued monitoring.</t>
  </si>
  <si>
    <t>BNP Paribas delivered improving earnings and returns over FY2022–FY2024. Net income attributable to equity holders rose from €9,848M on the restated FY2022 basis to €11,688M in FY2024, an 8.9% two-year CAGR, while CIR improved to 61.83%. CET1 was 12.87%, LCR 137%, and NSFR 111.75% in FY2024; these are assessed only against the regulatory or analytical comparison levels explicitly documented in the workbook.</t>
  </si>
  <si>
    <t>Total assets reached €2,704,908M in FY2024, 4.4% above FY2023. Customer loans were €900,141M and customer deposits €1,034,857M, leaving the loan-to-deposit ratio at 86.98%. This supports a deposit-funded customer lending profile, although the ratio does not capture the Group’s full funding structure. LCR and NSFR remained above the 100% minimum at 137% and 111.75%; HQLA declined to €380,615M.</t>
  </si>
  <si>
    <t>Data were manually extracted from official BNP Paribas annual-results, annual-report, and Pillar 3 documents, standardised in Excel, and cross-checked through the live control register. FY2022 figures affected by IFRS 17/9 use BNP’s restated disclosures for comparability with FY2023–FY2024; reported and restated values are retained separately in IFRS17_RESTATEMENT_NOTE. The analysis excludes forecasts, valuation, consensus estimates, and stress testing.</t>
  </si>
  <si>
    <t>Net income attributable to shareholders (FY2022 reported basis for balance-sheet reconciliation)</t>
  </si>
  <si>
    <t>BNP-reported Cost of Risk for the period / relevant average exposure basis, expressed in basis points</t>
  </si>
  <si>
    <t>Use BNP’s published Cost of Risk metric; do not combine it with Other net losses for risk on financial instruments.</t>
  </si>
  <si>
    <t>BNP-reported credit-risk impairment charge for intermediation activities.</t>
  </si>
  <si>
    <t>€M / bps</t>
  </si>
  <si>
    <t>BNP consolidated income statement / results</t>
  </si>
  <si>
    <t>Kept separate from other net risk losses.</t>
  </si>
  <si>
    <t>Risk-related losses recognised outside BNP Paribas’ reported Cost of Risk line.</t>
  </si>
  <si>
    <t>Separate P&amp;L line.</t>
  </si>
  <si>
    <t>Total risk-related charges</t>
  </si>
  <si>
    <t>Cost of Risk plus other net losses for risk on financial instruments.</t>
  </si>
  <si>
    <t>Analytical calculation</t>
  </si>
  <si>
    <t>Used only when explicitly labelled as combined charges.</t>
  </si>
  <si>
    <t>IFRS as adopted by the European Union. FY2022 uses IFRS 17/9 restated comparative figures where applicable to maintain comparability with FY2023–FY2024.</t>
  </si>
  <si>
    <t>Accounting Basis Methodology</t>
  </si>
  <si>
    <t>FY2022 operating and comparative figures affected by IFRS 17/9 use BNP Paribas’ restated disclosures. Reported and restated values are retained separately in IFRS17_RESTATEMENT_NOTE; the analytical series uses the consistent restated basis where required.</t>
  </si>
  <si>
    <t>FY2022 reported NBI</t>
  </si>
  <si>
    <t>FY2022 IFRS 17/9 restatement disclosure</t>
  </si>
  <si>
    <t>Restatement table</t>
  </si>
  <si>
    <t>Reported FY2022 series</t>
  </si>
  <si>
    <t>B7</t>
  </si>
  <si>
    <t>https://invest.bnpparibas/en/document/restatement-based-on-2023-format-of-2022-quarterly-series-pdf-file</t>
  </si>
  <si>
    <t>Figure verified in official restatement table</t>
  </si>
  <si>
    <t>FY2022 restated NBI</t>
  </si>
  <si>
    <t>Restated FY2022 series</t>
  </si>
  <si>
    <t>C7</t>
  </si>
  <si>
    <t>FY2022 reported net income attributable to equity holders</t>
  </si>
  <si>
    <t>B9</t>
  </si>
  <si>
    <t>FY2022 restated net income attributable to equity holders</t>
  </si>
  <si>
    <t>B44</t>
  </si>
  <si>
    <t>FY2022 reported Cost of Risk</t>
  </si>
  <si>
    <t>B10</t>
  </si>
  <si>
    <t>FY2022 restated Cost of Risk</t>
  </si>
  <si>
    <t>B27</t>
  </si>
  <si>
    <t>FY2022 restated comparative disclosure</t>
  </si>
  <si>
    <t>Restated results series</t>
  </si>
  <si>
    <t>Consolidated profit and loss account</t>
  </si>
  <si>
    <t>Section verified; printed page not assigned</t>
  </si>
  <si>
    <t>FY2023 consolidated financial statements</t>
  </si>
  <si>
    <t>C10</t>
  </si>
  <si>
    <t>https://invest.bnpparibas/document/4q23-consolidated-financial-statements-annual-audited</t>
  </si>
  <si>
    <t>FY2024 consolidated financial statements</t>
  </si>
  <si>
    <t>D10</t>
  </si>
  <si>
    <t>B11</t>
  </si>
  <si>
    <t>C11</t>
  </si>
  <si>
    <t>D11</t>
  </si>
  <si>
    <t>B12</t>
  </si>
  <si>
    <t>C12</t>
  </si>
  <si>
    <t>D12</t>
  </si>
  <si>
    <t>B13</t>
  </si>
  <si>
    <t>C13</t>
  </si>
  <si>
    <t>D13</t>
  </si>
  <si>
    <t>B15</t>
  </si>
  <si>
    <t>C15</t>
  </si>
  <si>
    <t>B19</t>
  </si>
  <si>
    <t>C19</t>
  </si>
  <si>
    <t>D19</t>
  </si>
  <si>
    <t>B20</t>
  </si>
  <si>
    <t>C20</t>
  </si>
  <si>
    <t>D20</t>
  </si>
  <si>
    <t>C27</t>
  </si>
  <si>
    <t>D27</t>
  </si>
  <si>
    <t>B28</t>
  </si>
  <si>
    <t>C28</t>
  </si>
  <si>
    <t>D28</t>
  </si>
  <si>
    <t>Pre-tax income</t>
  </si>
  <si>
    <t>B37</t>
  </si>
  <si>
    <t>C37</t>
  </si>
  <si>
    <t>D37</t>
  </si>
  <si>
    <t>Corporate income tax</t>
  </si>
  <si>
    <t>B39</t>
  </si>
  <si>
    <t>C39</t>
  </si>
  <si>
    <t>D39</t>
  </si>
  <si>
    <t>C41</t>
  </si>
  <si>
    <t>B43</t>
  </si>
  <si>
    <t>C43</t>
  </si>
  <si>
    <t>D43</t>
  </si>
  <si>
    <t>Net income attributable to equity holders</t>
  </si>
  <si>
    <t>C44</t>
  </si>
  <si>
    <t>D44</t>
  </si>
  <si>
    <t>FY2022 consolidated financial statements</t>
  </si>
  <si>
    <t>B31</t>
  </si>
  <si>
    <t>https://invest.bnpparibas/document/4q22-consolidated-financial-statements-annual-audited</t>
  </si>
  <si>
    <t>C31</t>
  </si>
  <si>
    <t>Customer Loans</t>
  </si>
  <si>
    <t>Customer Deposits</t>
  </si>
  <si>
    <t>B45</t>
  </si>
  <si>
    <t>C45</t>
  </si>
  <si>
    <t>D45</t>
  </si>
  <si>
    <t>Total Equity</t>
  </si>
  <si>
    <t>B66</t>
  </si>
  <si>
    <t>C66</t>
  </si>
  <si>
    <t>D66</t>
  </si>
  <si>
    <t>BNP Paribas 2022 URD / Pillar 3</t>
  </si>
  <si>
    <t>Capital and RWA disclosures</t>
  </si>
  <si>
    <t>Pillar 3 capital structure</t>
  </si>
  <si>
    <t>B16</t>
  </si>
  <si>
    <t>BNP Paribas 2023 URD / Pillar 3</t>
  </si>
  <si>
    <t>C16</t>
  </si>
  <si>
    <t>BNP Paribas 2024 URD / Pillar 3</t>
  </si>
  <si>
    <t>D16</t>
  </si>
  <si>
    <t>B18</t>
  </si>
  <si>
    <t>C18</t>
  </si>
  <si>
    <t>D18</t>
  </si>
  <si>
    <t>B21</t>
  </si>
  <si>
    <t>C21</t>
  </si>
  <si>
    <t>D21</t>
  </si>
  <si>
    <t>B22</t>
  </si>
  <si>
    <t>C22</t>
  </si>
  <si>
    <t>D22</t>
  </si>
  <si>
    <t>B23</t>
  </si>
  <si>
    <t>C23</t>
  </si>
  <si>
    <t>D23</t>
  </si>
  <si>
    <t>B24</t>
  </si>
  <si>
    <t>C24</t>
  </si>
  <si>
    <t>D24</t>
  </si>
  <si>
    <t>Liquidity Coverage Ratio</t>
  </si>
  <si>
    <t>Liquidity disclosures</t>
  </si>
  <si>
    <t>Pillar 3 liquidity metrics</t>
  </si>
  <si>
    <t>B8</t>
  </si>
  <si>
    <t>C8</t>
  </si>
  <si>
    <t>D8</t>
  </si>
  <si>
    <t>Net Stable Funding Ratio</t>
  </si>
  <si>
    <t>D9</t>
  </si>
  <si>
    <t>High Quality Liquid Assets</t>
  </si>
  <si>
    <t>Credit risk / IFRS 9 disclosures</t>
  </si>
  <si>
    <t>Asset quality and expected credit losses</t>
  </si>
  <si>
    <t>B14</t>
  </si>
  <si>
    <t>C14</t>
  </si>
  <si>
    <t>D14</t>
  </si>
  <si>
    <t>Waterfall-style net-income bridge and driver analysis</t>
  </si>
  <si>
    <t>Above stated base reference</t>
  </si>
  <si>
    <t>Above 3% base reference</t>
  </si>
  <si>
    <t>Restated FY2022 net income is €348M lower than reported. The analytical cross-year series uses the restated €9,848M baseline.</t>
  </si>
  <si>
    <t>Sources: BNP Paribas FY2022 IFRS 17/9 restatement disclosure and the Universal Registration Document and Annual Financial Report 2024 key-figures section. Only explicitly evidenced restatements are included.</t>
  </si>
  <si>
    <t>FY2023 earnings growth depended on trading and reconciliation items because NII, fees, operating costs, and total risk-related charges were adverse, although standard Cost of Risk improved by €96M. FY2024 delivery was broader: revenue and operating expenses improved; standard Cost of Risk increased by €92M, while other net risk losses fell by €573M.</t>
  </si>
  <si>
    <t>Capital generation remained strong, with CET1 capital reaching €98,128M and total capital €130,581M in FY2024. RWA increased to €762,247M, moderating ratios from FY2023 peaks; reported ratios remained above the stated base references used in this workbook, and leverage continued to improve.</t>
  </si>
  <si>
    <t>FY2024 earnings strengthened as NBI grew 6.4% and operating expenses declined 2.5%. Standard Cost of Risk increased 3.2%, while other net risk losses fell 73.9%, lifting operating income 37.4% and net income attributable to equity holders to €11,688M.</t>
  </si>
  <si>
    <t>FY 2022 Restated–FY 2024 | Earnings, returns, capital, credit quality, and efficiency</t>
  </si>
  <si>
    <t>Six verified native Excel charts | Values live-linked to the workbook’s financial statements and ratio schedules</t>
  </si>
  <si>
    <t>1. Earnings — FY2024 NBI rose 6.4% and net income attributable to equity holders increased 6.5%.</t>
  </si>
  <si>
    <t>2. Returns — ROE and ROTE improved each year, reaching 9.28% and 10.07% in FY2024.</t>
  </si>
  <si>
    <t>3. Capital — CET1 closed FY2024 at 12.87%; regulatory references are analytical comparisons only and no BNP-specific SREP threshold is asserted.</t>
  </si>
  <si>
    <t>4. Credit — NPL improved to 1.6% versus the 2.3% ECB reference; Cost of Risk increased to 33 bps but remained below the 47 bps sector reference.</t>
  </si>
  <si>
    <t>5. Efficiency — CIR improved to 61.83%, below the workbook’s 66% analytical comparison.</t>
  </si>
  <si>
    <t>CASH AND CASH EQUIVALENTS RECONCILIATION</t>
  </si>
  <si>
    <t>Opening cash and cash equivalents</t>
  </si>
  <si>
    <t>Net decrease in cash and cash equivalents</t>
  </si>
  <si>
    <t>Calculated closing cash and cash equivalents</t>
  </si>
  <si>
    <t>Reported closing cash and cash equivalents</t>
  </si>
  <si>
    <t>ROLL-FORWARD RECONCILIATION CHECK</t>
  </si>
  <si>
    <t>€0M expected</t>
  </si>
  <si>
    <t>PASS when all years = €0M</t>
  </si>
  <si>
    <t>CLOSING CASH-EQUIVALENT COMPOSITION</t>
  </si>
  <si>
    <t>SOURCE BASIS</t>
  </si>
  <si>
    <t>Cash and amounts due from central banks</t>
  </si>
  <si>
    <t>Due to central banks</t>
  </si>
  <si>
    <t>On-demand deposits with credit institutions</t>
  </si>
  <si>
    <t>On-demand loans from credit institutions</t>
  </si>
  <si>
    <t>Accrued-interest deduction / assets held for sale</t>
  </si>
  <si>
    <t>COMPOSITION RECONCILIATION CHECK</t>
  </si>
  <si>
    <t>Published component</t>
  </si>
  <si>
    <t>Published adjustment</t>
  </si>
  <si>
    <t>All components reconcile to the reported IAS 7 closing balance</t>
  </si>
  <si>
    <t>BNP consolidated cash-flow statement</t>
  </si>
  <si>
    <t>Total Capital Returned (€M) — proxy from CF line transactions with shareholders</t>
  </si>
  <si>
    <t>Capital Return / Net Income (%)</t>
  </si>
  <si>
    <t>FY2022 cash-equivalent roll-forward reconciles</t>
  </si>
  <si>
    <t>Calculated closing less reported IAS 7 closing balance</t>
  </si>
  <si>
    <t>💰 CASH_FLOW!B49</t>
  </si>
  <si>
    <t>FY2023 cash-equivalent roll-forward reconciles</t>
  </si>
  <si>
    <t>💰 CASH_FLOW!C49</t>
  </si>
  <si>
    <t>FY2024 cash-equivalent roll-forward reconciles</t>
  </si>
  <si>
    <t>💰 CASH_FLOW!D49</t>
  </si>
  <si>
    <t>Closing cash and cash equivalents</t>
  </si>
  <si>
    <t>BNP Paribas 2023 Consolidated Financial Statements — FY2022 comparative</t>
  </si>
  <si>
    <t>Cash flow statement — cash-equivalent accounts</t>
  </si>
  <si>
    <t>IAS 7 cash and cash equivalents reconciliation</t>
  </si>
  <si>
    <t>B48</t>
  </si>
  <si>
    <t>https://invest.bnpparibas/en/document/4q23-cfsu</t>
  </si>
  <si>
    <t>Figure and component composition verified</t>
  </si>
  <si>
    <t>BNP Paribas 2023 Consolidated Financial Statements</t>
  </si>
  <si>
    <t>C48</t>
  </si>
  <si>
    <t>BNP Paribas 2024 Consolidated Financial Statements</t>
  </si>
  <si>
    <t>D48</t>
  </si>
  <si>
    <t>SOURCE_REGISTER!A7:I117</t>
  </si>
  <si>
    <t xml:space="preserve">The cash-flow statement shows significant operating outflows, including €97,376M in FY2024, largely driven by movements in financial assets and liabilities. The IAS 7 cash-equivalent roll-forward now reconciles exactly in all three years: €317,698M in FY2022, €282,579M in FY2023, and €178,212M in FY2024. These measures include central-bank cash, on-demand balances with credit institutions, and published adjustments, so they are not equivalent to the single balance-sheet line ‘Cash and balances at central banks’. </t>
  </si>
  <si>
    <t>FY2022 comparatives follow BNP’s disclosed restatement perimeter. IAS 7 cash and cash equivalents are reconciled separately from the balance-sheet central-bank cash line using the published component composition.</t>
  </si>
  <si>
    <t>Use this page as the workbook table of contents.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</si>
</sst>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0_-;\-* #,##0.0_-;_-* &quot;-&quot;??_-;_-@_-"/>
    <numFmt numFmtId="165" formatCode="_-* #,##0_-;\-* #,##0_-;_-* &quot;-&quot;??_-;_-@_-"/>
    <numFmt numFmtId="166" formatCode="0.0%"/>
    <numFmt numFmtId="167" formatCode="\€0.00"/>
    <numFmt numFmtId="168" formatCode="0.0%;[Red]\-0.0%"/>
    <numFmt numFmtId="169" formatCode="0.00%;[Red]\-0.00%"/>
    <numFmt numFmtId="170" formatCode="dd\ mmm\ yyyy"/>
    <numFmt numFmtId="171" formatCode="#,##0;[Red]\(#,##0\)"/>
    <numFmt numFmtId="173" formatCode="0\ &quot;bps&quot;"/>
    <numFmt numFmtId="175" formatCode="0.00\ &quot;pp&quot;"/>
    <numFmt numFmtId="176" formatCode="#,##0.0"/>
  </numFmts>
  <fonts count="46" x14ac:knownFonts="1">
    <font>
      <sz val="11"/>
      <color theme="1"/>
      <name val="Aptos Narrow"/>
      <family val="2"/>
      <scheme val="minor"/>
    </font>
    <font>
      <sz val="11"/>
      <color theme="1"/>
      <name val="Aptos Narrow"/>
      <family val="2"/>
      <scheme val="minor"/>
    </font>
    <font>
      <sz val="11"/>
      <color theme="1"/>
      <name val="Georgia"/>
      <family val="1"/>
    </font>
    <font>
      <b/>
      <sz val="11"/>
      <color theme="1"/>
      <name val="Georgia"/>
      <family val="1"/>
    </font>
    <font>
      <sz val="8"/>
      <name val="Aptos Narrow"/>
      <family val="2"/>
      <scheme val="minor"/>
    </font>
    <font>
      <b/>
      <sz val="11"/>
      <color rgb="FFFFFFFF"/>
      <name val="Aptos Narrow"/>
      <family val="2"/>
      <scheme val="minor"/>
    </font>
    <font>
      <b/>
      <sz val="12"/>
      <color rgb="FFFFFFFF"/>
      <name val="Aptos Narrow"/>
      <family val="2"/>
      <scheme val="minor"/>
    </font>
    <font>
      <sz val="10"/>
      <color rgb="FF303030"/>
      <name val="Aptos"/>
      <family val="2"/>
    </font>
    <font>
      <b/>
      <sz val="18"/>
      <color rgb="FFFFFFFF"/>
      <name val="Aptos"/>
      <family val="2"/>
    </font>
    <font>
      <b/>
      <i/>
      <sz val="11"/>
      <color rgb="FF555555"/>
      <name val="Aptos"/>
      <family val="2"/>
    </font>
    <font>
      <sz val="10"/>
      <color rgb="FF555555"/>
      <name val="Aptos"/>
      <family val="2"/>
    </font>
    <font>
      <b/>
      <sz val="12"/>
      <color rgb="FFFFFFFF"/>
      <name val="Aptos"/>
      <family val="2"/>
    </font>
    <font>
      <b/>
      <sz val="10"/>
      <color rgb="FF17365D"/>
      <name val="Aptos"/>
      <family val="2"/>
    </font>
    <font>
      <b/>
      <sz val="10"/>
      <color rgb="FF1F4E3D"/>
      <name val="Aptos"/>
      <family val="2"/>
    </font>
    <font>
      <sz val="10"/>
      <color rgb="FF303030"/>
      <name val="Aptos"/>
    </font>
    <font>
      <b/>
      <sz val="10"/>
      <color rgb="FFFFFFFF"/>
      <name val="Aptos"/>
    </font>
    <font>
      <b/>
      <sz val="18"/>
      <color rgb="FFFFFFFF"/>
      <name val="Aptos"/>
    </font>
    <font>
      <sz val="10"/>
      <color rgb="FF555555"/>
      <name val="Aptos"/>
    </font>
    <font>
      <i/>
      <sz val="11"/>
      <color rgb="FF555555"/>
      <name val="Aptos"/>
    </font>
    <font>
      <b/>
      <sz val="12"/>
      <color rgb="FFFFFFFF"/>
      <name val="Aptos"/>
    </font>
    <font>
      <b/>
      <sz val="10"/>
      <color rgb="FF303030"/>
      <name val="Aptos"/>
    </font>
    <font>
      <b/>
      <sz val="10"/>
      <color rgb="FF17365D"/>
      <name val="Aptos"/>
    </font>
    <font>
      <b/>
      <sz val="10"/>
      <color rgb="FF1F4E3D"/>
      <name val="Aptos"/>
    </font>
    <font>
      <sz val="10"/>
      <color rgb="FF1F4E3D"/>
      <name val="Aptos"/>
    </font>
    <font>
      <sz val="10"/>
      <color rgb="FF7F6000"/>
      <name val="Aptos"/>
    </font>
    <font>
      <b/>
      <sz val="10"/>
      <color rgb="FF00965E"/>
      <name val="Aptos"/>
    </font>
    <font>
      <i/>
      <sz val="10"/>
      <color rgb="FF303030"/>
      <name val="Aptos"/>
    </font>
    <font>
      <b/>
      <i/>
      <sz val="10"/>
      <color rgb="FF303030"/>
      <name val="Aptos"/>
    </font>
    <font>
      <b/>
      <i/>
      <sz val="11"/>
      <color rgb="FF555555"/>
      <name val="Aptos"/>
    </font>
    <font>
      <i/>
      <sz val="10"/>
      <color rgb="FF666666"/>
      <name val="Aptos"/>
    </font>
    <font>
      <b/>
      <i/>
      <sz val="10"/>
      <color rgb="FFFFFFFF"/>
      <name val="Aptos"/>
    </font>
    <font>
      <b/>
      <sz val="11"/>
      <color rgb="FFFFFFFF"/>
      <name val="Aptos"/>
    </font>
    <font>
      <b/>
      <i/>
      <sz val="10"/>
      <color rgb="FF1F4E3D"/>
      <name val="Aptos"/>
    </font>
    <font>
      <sz val="10"/>
      <color rgb="FF9C0006"/>
      <name val="Aptos"/>
    </font>
    <font>
      <b/>
      <sz val="12"/>
      <color rgb="FF17365D"/>
      <name val="Aptos"/>
    </font>
    <font>
      <b/>
      <sz val="11"/>
      <color rgb="FF17365D"/>
      <name val="Aptos Narrow"/>
      <family val="2"/>
      <scheme val="minor"/>
    </font>
    <font>
      <sz val="11"/>
      <color rgb="FF303030"/>
      <name val="Aptos Narrow"/>
      <family val="2"/>
      <scheme val="minor"/>
    </font>
    <font>
      <b/>
      <sz val="18"/>
      <color rgb="FFFFFFFF"/>
      <name val="Aptos Narrow"/>
      <family val="2"/>
      <scheme val="minor"/>
    </font>
    <font>
      <i/>
      <sz val="10"/>
      <color rgb="FF666666"/>
      <name val="Aptos Narrow"/>
      <family val="2"/>
      <scheme val="minor"/>
    </font>
    <font>
      <sz val="11"/>
      <color rgb="FF1F1F1F"/>
      <name val="Aptos Narrow"/>
      <family val="2"/>
      <scheme val="minor"/>
    </font>
    <font>
      <b/>
      <sz val="11"/>
      <color theme="1"/>
      <name val="Aptos Narrow"/>
      <family val="2"/>
      <scheme val="minor"/>
    </font>
    <font>
      <i/>
      <sz val="11"/>
      <color theme="1"/>
      <name val="Aptos Narrow"/>
      <family val="2"/>
      <scheme val="minor"/>
    </font>
    <font>
      <i/>
      <sz val="11"/>
      <color rgb="FF666666"/>
      <name val="Aptos Narrow"/>
      <family val="2"/>
      <scheme val="minor"/>
    </font>
    <font>
      <sz val="10"/>
      <color rgb="FF222222"/>
      <name val="Aptos Narrow"/>
      <family val="2"/>
      <scheme val="minor"/>
    </font>
    <font>
      <b/>
      <sz val="11"/>
      <color rgb="FFFFFFFF"/>
      <name val="Georgia"/>
      <family val="1"/>
    </font>
    <font>
      <b/>
      <sz val="12"/>
      <name val="Aptos"/>
      <family val="2"/>
    </font>
  </fonts>
  <fills count="15">
    <fill>
      <patternFill patternType="none"/>
    </fill>
    <fill>
      <patternFill patternType="gray125"/>
    </fill>
    <fill>
      <patternFill patternType="solid">
        <fgColor rgb="FFF2F2F2"/>
        <bgColor indexed="64"/>
      </patternFill>
    </fill>
    <fill>
      <patternFill patternType="solid">
        <fgColor rgb="FF1F4E78"/>
        <bgColor indexed="64"/>
      </patternFill>
    </fill>
    <fill>
      <patternFill patternType="solid">
        <fgColor rgb="FFE2F0D9"/>
        <bgColor indexed="64"/>
      </patternFill>
    </fill>
    <fill>
      <patternFill patternType="solid">
        <fgColor rgb="FF17365D"/>
        <bgColor indexed="64"/>
      </patternFill>
    </fill>
    <fill>
      <patternFill patternType="solid">
        <fgColor rgb="FF00965E"/>
        <bgColor indexed="64"/>
      </patternFill>
    </fill>
    <fill>
      <patternFill patternType="solid">
        <fgColor rgb="FFE7E6E6"/>
        <bgColor indexed="64"/>
      </patternFill>
    </fill>
    <fill>
      <patternFill patternType="solid">
        <fgColor rgb="FFFFF2CC"/>
        <bgColor indexed="64"/>
      </patternFill>
    </fill>
    <fill>
      <patternFill patternType="solid">
        <fgColor rgb="FFD9EAF7"/>
        <bgColor indexed="64"/>
      </patternFill>
    </fill>
    <fill>
      <patternFill patternType="solid">
        <fgColor rgb="FFFCE4D6"/>
        <bgColor indexed="64"/>
      </patternFill>
    </fill>
    <fill>
      <patternFill patternType="solid">
        <fgColor rgb="FFFFFFFF"/>
        <bgColor indexed="64"/>
      </patternFill>
    </fill>
    <fill>
      <patternFill patternType="solid">
        <fgColor rgb="FFEAF2F8"/>
        <bgColor indexed="64"/>
      </patternFill>
    </fill>
    <fill>
      <patternFill patternType="solid">
        <fgColor rgb="FF5B9BD5"/>
        <bgColor indexed="64"/>
      </patternFill>
    </fill>
    <fill>
      <patternFill patternType="solid">
        <fgColor rgb="FF2F75B5"/>
        <bgColor indexed="64"/>
      </patternFill>
    </fill>
  </fills>
  <borders count="15">
    <border>
      <left/>
      <right/>
      <top/>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right/>
      <top/>
      <bottom style="thin">
        <color auto="1"/>
      </bottom>
      <diagonal/>
    </border>
    <border>
      <left/>
      <right/>
      <top style="thin">
        <color auto="1"/>
      </top>
      <bottom/>
      <diagonal/>
    </border>
    <border>
      <left/>
      <right/>
      <top style="thin">
        <color rgb="FF7F8C8D"/>
      </top>
      <bottom style="thin">
        <color rgb="FF7F8C8D"/>
      </bottom>
      <diagonal/>
    </border>
    <border>
      <left/>
      <right/>
      <top/>
      <bottom style="thin">
        <color rgb="FFA9D18E"/>
      </bottom>
      <diagonal/>
    </border>
    <border>
      <left/>
      <right/>
      <top style="thin">
        <color rgb="FFA9D18E"/>
      </top>
      <bottom style="thin">
        <color rgb="FFA9D18E"/>
      </bottom>
      <diagonal/>
    </border>
    <border>
      <left/>
      <right/>
      <top style="thin">
        <color rgb="FFA9D18E"/>
      </top>
      <bottom/>
      <diagonal/>
    </border>
    <border>
      <left/>
      <right/>
      <top/>
      <bottom style="thin">
        <color rgb="FFE7E6E6"/>
      </bottom>
      <diagonal/>
    </border>
    <border>
      <left/>
      <right/>
      <top style="thin">
        <color rgb="FFE7E6E6"/>
      </top>
      <bottom style="thin">
        <color rgb="FFE7E6E6"/>
      </bottom>
      <diagonal/>
    </border>
    <border>
      <left/>
      <right/>
      <top style="thin">
        <color rgb="FFE7E6E6"/>
      </top>
      <bottom/>
      <diagonal/>
    </border>
    <border>
      <left/>
      <right/>
      <top style="thin">
        <color rgb="FF7F8C8D"/>
      </top>
      <bottom/>
      <diagonal/>
    </border>
    <border>
      <left/>
      <right/>
      <top style="double">
        <color rgb="FF00965E"/>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99">
    <xf numFmtId="0" fontId="0" fillId="0" borderId="0" xfId="0"/>
    <xf numFmtId="0" fontId="2" fillId="0" borderId="0" xfId="0" applyFont="1"/>
    <xf numFmtId="0" fontId="3" fillId="0" borderId="0" xfId="0" applyFont="1"/>
    <xf numFmtId="0" fontId="2" fillId="0" borderId="0" xfId="0" applyFont="1" applyAlignment="1">
      <alignment horizontal="center"/>
    </xf>
    <xf numFmtId="0" fontId="2" fillId="0" borderId="0" xfId="0" applyFont="1" applyAlignment="1">
      <alignment horizontal="left"/>
    </xf>
    <xf numFmtId="165" fontId="2" fillId="0" borderId="0" xfId="1" applyNumberFormat="1" applyFont="1"/>
    <xf numFmtId="3" fontId="0" fillId="0" borderId="0" xfId="0" applyNumberFormat="1"/>
    <xf numFmtId="165" fontId="2" fillId="0" borderId="0" xfId="0" applyNumberFormat="1" applyFont="1"/>
    <xf numFmtId="164" fontId="2" fillId="0" borderId="0" xfId="0" applyNumberFormat="1" applyFont="1"/>
    <xf numFmtId="0" fontId="3" fillId="0" borderId="0" xfId="0" applyFont="1" applyAlignment="1">
      <alignment horizontal="center"/>
    </xf>
    <xf numFmtId="0" fontId="0" fillId="0" borderId="1" xfId="0" applyBorder="1"/>
    <xf numFmtId="0" fontId="7" fillId="0" borderId="0" xfId="0" applyFont="1" applyAlignment="1">
      <alignment vertical="center"/>
    </xf>
    <xf numFmtId="0" fontId="14" fillId="0" borderId="0" xfId="0" applyFont="1" applyAlignment="1">
      <alignment vertical="center"/>
    </xf>
    <xf numFmtId="0" fontId="16" fillId="5" borderId="0" xfId="0" applyFont="1" applyFill="1" applyAlignment="1">
      <alignment horizontal="center" vertical="center"/>
    </xf>
    <xf numFmtId="0" fontId="18" fillId="0" borderId="0" xfId="0" applyFont="1" applyAlignment="1">
      <alignment horizontal="center" vertical="center"/>
    </xf>
    <xf numFmtId="0" fontId="17" fillId="7" borderId="0" xfId="0" applyFont="1" applyFill="1" applyAlignment="1">
      <alignment horizontal="center" vertical="center"/>
    </xf>
    <xf numFmtId="0" fontId="19" fillId="6" borderId="0" xfId="0" applyFont="1" applyFill="1" applyAlignment="1">
      <alignment vertical="center"/>
    </xf>
    <xf numFmtId="0" fontId="15" fillId="3" borderId="0" xfId="0" applyFont="1" applyFill="1" applyAlignment="1">
      <alignment horizontal="center" vertical="center"/>
    </xf>
    <xf numFmtId="0" fontId="14" fillId="0" borderId="4" xfId="0" applyFont="1" applyBorder="1" applyAlignment="1">
      <alignment vertical="center"/>
    </xf>
    <xf numFmtId="0" fontId="14" fillId="0" borderId="5" xfId="0" applyFont="1" applyBorder="1" applyAlignment="1">
      <alignment vertical="center"/>
    </xf>
    <xf numFmtId="0" fontId="14" fillId="0" borderId="1" xfId="0" applyFont="1" applyBorder="1" applyAlignment="1">
      <alignment vertical="center"/>
    </xf>
    <xf numFmtId="0" fontId="14" fillId="0" borderId="2" xfId="0" applyFont="1" applyBorder="1" applyAlignment="1">
      <alignment vertical="center"/>
    </xf>
    <xf numFmtId="0" fontId="14" fillId="0" borderId="3" xfId="0" applyFont="1" applyBorder="1" applyAlignment="1">
      <alignment vertical="center"/>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20" fillId="0" borderId="1" xfId="0" applyFont="1" applyBorder="1" applyAlignment="1">
      <alignment vertical="center"/>
    </xf>
    <xf numFmtId="0" fontId="20" fillId="0" borderId="2" xfId="0" applyFont="1" applyBorder="1" applyAlignment="1">
      <alignment vertical="center"/>
    </xf>
    <xf numFmtId="0" fontId="21" fillId="0" borderId="1" xfId="0" applyFont="1" applyBorder="1" applyAlignment="1">
      <alignment vertical="center"/>
    </xf>
    <xf numFmtId="0" fontId="21" fillId="0" borderId="2" xfId="0" applyFont="1" applyBorder="1" applyAlignment="1">
      <alignment vertical="center"/>
    </xf>
    <xf numFmtId="0" fontId="21" fillId="4" borderId="2" xfId="0" applyFont="1" applyFill="1" applyBorder="1" applyAlignment="1">
      <alignment vertical="center"/>
    </xf>
    <xf numFmtId="0" fontId="22" fillId="4" borderId="2" xfId="0" applyFont="1" applyFill="1" applyBorder="1" applyAlignment="1">
      <alignment vertical="center"/>
    </xf>
    <xf numFmtId="0" fontId="22" fillId="4" borderId="0" xfId="0" applyFont="1" applyFill="1" applyAlignment="1">
      <alignment horizontal="center" vertical="center"/>
    </xf>
    <xf numFmtId="0" fontId="23" fillId="4" borderId="0" xfId="0" applyFont="1" applyFill="1" applyAlignment="1">
      <alignment vertical="center" wrapText="1"/>
    </xf>
    <xf numFmtId="0" fontId="22" fillId="4" borderId="0" xfId="0" applyFont="1" applyFill="1" applyAlignment="1">
      <alignment vertical="center" wrapText="1"/>
    </xf>
    <xf numFmtId="0" fontId="21" fillId="0" borderId="0" xfId="0" applyFont="1" applyAlignment="1">
      <alignment vertical="center"/>
    </xf>
    <xf numFmtId="0" fontId="14" fillId="0" borderId="0" xfId="0" applyFont="1" applyAlignment="1">
      <alignment horizontal="right" vertical="center"/>
    </xf>
    <xf numFmtId="0" fontId="14" fillId="0" borderId="0" xfId="0" applyFont="1" applyAlignment="1">
      <alignment horizontal="center" vertical="center"/>
    </xf>
    <xf numFmtId="0" fontId="14" fillId="0" borderId="0" xfId="0" applyFont="1" applyAlignment="1">
      <alignment vertical="center" wrapText="1"/>
    </xf>
    <xf numFmtId="0" fontId="14" fillId="0" borderId="1" xfId="0" applyFont="1" applyBorder="1" applyAlignment="1">
      <alignment vertical="center" wrapText="1"/>
    </xf>
    <xf numFmtId="0" fontId="14" fillId="0" borderId="2" xfId="0" applyFont="1" applyBorder="1" applyAlignment="1">
      <alignment horizontal="right" vertical="center"/>
    </xf>
    <xf numFmtId="0" fontId="14" fillId="0" borderId="2" xfId="0" applyFont="1" applyBorder="1" applyAlignment="1">
      <alignment vertical="center" wrapText="1"/>
    </xf>
    <xf numFmtId="0" fontId="21" fillId="0" borderId="3" xfId="0" applyFont="1" applyBorder="1" applyAlignment="1">
      <alignment vertical="center"/>
    </xf>
    <xf numFmtId="0" fontId="14" fillId="0" borderId="3" xfId="0" applyFont="1" applyBorder="1" applyAlignment="1">
      <alignment horizontal="right" vertical="center"/>
    </xf>
    <xf numFmtId="0" fontId="14" fillId="0" borderId="3" xfId="0" applyFont="1" applyBorder="1" applyAlignment="1">
      <alignment horizontal="center" vertical="center"/>
    </xf>
    <xf numFmtId="0" fontId="14" fillId="0" borderId="3" xfId="0" applyFont="1" applyBorder="1" applyAlignment="1">
      <alignment vertical="center" wrapText="1"/>
    </xf>
    <xf numFmtId="10" fontId="14" fillId="0" borderId="1" xfId="0" applyNumberFormat="1" applyFont="1" applyBorder="1" applyAlignment="1">
      <alignment horizontal="right" vertical="center"/>
    </xf>
    <xf numFmtId="10" fontId="14" fillId="0" borderId="0" xfId="0" applyNumberFormat="1" applyFont="1" applyAlignment="1">
      <alignment horizontal="right" vertical="center"/>
    </xf>
    <xf numFmtId="10" fontId="14" fillId="0" borderId="2" xfId="0" applyNumberFormat="1" applyFont="1" applyBorder="1" applyAlignment="1">
      <alignment horizontal="right" vertical="center"/>
    </xf>
    <xf numFmtId="10" fontId="14" fillId="0" borderId="3" xfId="0" applyNumberFormat="1" applyFont="1" applyBorder="1" applyAlignment="1">
      <alignment horizontal="right" vertical="center"/>
    </xf>
    <xf numFmtId="3" fontId="14" fillId="0" borderId="2" xfId="0" applyNumberFormat="1" applyFont="1" applyBorder="1" applyAlignment="1">
      <alignment horizontal="right" vertical="center"/>
    </xf>
    <xf numFmtId="3" fontId="14" fillId="0" borderId="3" xfId="0" applyNumberFormat="1" applyFont="1" applyBorder="1" applyAlignment="1">
      <alignment horizontal="right" vertical="center"/>
    </xf>
    <xf numFmtId="38" fontId="14" fillId="0" borderId="0" xfId="0" applyNumberFormat="1" applyFont="1" applyAlignment="1">
      <alignment horizontal="right" vertical="center"/>
    </xf>
    <xf numFmtId="38" fontId="14" fillId="0" borderId="3" xfId="0" applyNumberFormat="1" applyFont="1" applyBorder="1" applyAlignment="1">
      <alignment horizontal="right" vertical="center"/>
    </xf>
    <xf numFmtId="38" fontId="14" fillId="0" borderId="2" xfId="0" applyNumberFormat="1" applyFont="1" applyBorder="1" applyAlignment="1">
      <alignment horizontal="right" vertical="center"/>
    </xf>
    <xf numFmtId="167" fontId="14" fillId="0" borderId="2" xfId="0" applyNumberFormat="1" applyFont="1" applyBorder="1" applyAlignment="1">
      <alignment horizontal="right" vertical="center"/>
    </xf>
    <xf numFmtId="2" fontId="14" fillId="0" borderId="2" xfId="0" applyNumberFormat="1" applyFont="1" applyBorder="1" applyAlignment="1">
      <alignment horizontal="right" vertical="center"/>
    </xf>
    <xf numFmtId="0" fontId="23" fillId="4" borderId="3" xfId="0" applyFont="1" applyFill="1" applyBorder="1" applyAlignment="1">
      <alignment vertical="center" wrapText="1"/>
    </xf>
    <xf numFmtId="0" fontId="23" fillId="4" borderId="2" xfId="0" applyFont="1" applyFill="1" applyBorder="1" applyAlignment="1">
      <alignment vertical="center" wrapText="1"/>
    </xf>
    <xf numFmtId="0" fontId="24" fillId="8" borderId="3" xfId="0" applyFont="1" applyFill="1" applyBorder="1" applyAlignment="1">
      <alignment vertical="center" wrapText="1"/>
    </xf>
    <xf numFmtId="0" fontId="24" fillId="8" borderId="0" xfId="0" applyFont="1" applyFill="1" applyAlignment="1">
      <alignment vertical="center" wrapText="1"/>
    </xf>
    <xf numFmtId="0" fontId="20" fillId="0" borderId="3" xfId="0" applyFont="1" applyBorder="1" applyAlignment="1">
      <alignment vertical="center"/>
    </xf>
    <xf numFmtId="0" fontId="22" fillId="4" borderId="0" xfId="0" applyFont="1" applyFill="1" applyAlignment="1">
      <alignment horizontal="center" vertical="center" wrapText="1"/>
    </xf>
    <xf numFmtId="0" fontId="22" fillId="4" borderId="3" xfId="0" applyFont="1" applyFill="1" applyBorder="1" applyAlignment="1">
      <alignment vertical="center"/>
    </xf>
    <xf numFmtId="0" fontId="22" fillId="4" borderId="1" xfId="0" applyFont="1" applyFill="1" applyBorder="1" applyAlignment="1">
      <alignment vertical="center"/>
    </xf>
    <xf numFmtId="0" fontId="15" fillId="3" borderId="0" xfId="0" applyFont="1" applyFill="1" applyAlignment="1">
      <alignment horizontal="right" vertical="center"/>
    </xf>
    <xf numFmtId="0" fontId="19" fillId="6" borderId="0" xfId="0" applyFont="1" applyFill="1" applyAlignment="1">
      <alignment horizontal="right" vertical="center"/>
    </xf>
    <xf numFmtId="38" fontId="14" fillId="0" borderId="0" xfId="1" applyNumberFormat="1" applyFont="1" applyBorder="1" applyAlignment="1">
      <alignment horizontal="right" vertical="center"/>
    </xf>
    <xf numFmtId="38" fontId="14" fillId="0" borderId="3" xfId="1" applyNumberFormat="1" applyFont="1" applyBorder="1" applyAlignment="1">
      <alignment horizontal="right" vertical="center"/>
    </xf>
    <xf numFmtId="38" fontId="14" fillId="0" borderId="2" xfId="1" applyNumberFormat="1" applyFont="1" applyBorder="1" applyAlignment="1">
      <alignment horizontal="right" vertical="center"/>
    </xf>
    <xf numFmtId="38" fontId="27" fillId="9" borderId="6" xfId="1" applyNumberFormat="1" applyFont="1" applyFill="1" applyBorder="1" applyAlignment="1">
      <alignment horizontal="right" vertical="center"/>
    </xf>
    <xf numFmtId="38" fontId="29" fillId="2" borderId="1" xfId="0" applyNumberFormat="1" applyFont="1" applyFill="1" applyBorder="1" applyAlignment="1">
      <alignment horizontal="right" vertical="center"/>
    </xf>
    <xf numFmtId="168" fontId="29" fillId="2" borderId="1" xfId="0" applyNumberFormat="1" applyFont="1" applyFill="1" applyBorder="1" applyAlignment="1">
      <alignment horizontal="right" vertical="center"/>
    </xf>
    <xf numFmtId="38" fontId="19" fillId="6" borderId="0" xfId="0" applyNumberFormat="1" applyFont="1" applyFill="1" applyAlignment="1">
      <alignment horizontal="right" vertical="center"/>
    </xf>
    <xf numFmtId="38" fontId="27" fillId="4" borderId="6" xfId="1" applyNumberFormat="1" applyFont="1" applyFill="1" applyBorder="1" applyAlignment="1">
      <alignment horizontal="right" vertical="center"/>
    </xf>
    <xf numFmtId="38" fontId="27" fillId="4" borderId="6" xfId="0" applyNumberFormat="1" applyFont="1" applyFill="1" applyBorder="1" applyAlignment="1">
      <alignment horizontal="right" vertical="center"/>
    </xf>
    <xf numFmtId="38" fontId="27" fillId="9" borderId="6" xfId="0" applyNumberFormat="1" applyFont="1" applyFill="1" applyBorder="1" applyAlignment="1">
      <alignment horizontal="right" vertical="center"/>
    </xf>
    <xf numFmtId="38" fontId="20" fillId="0" borderId="6" xfId="1" applyNumberFormat="1" applyFont="1" applyBorder="1" applyAlignment="1">
      <alignment horizontal="right" vertical="center"/>
    </xf>
    <xf numFmtId="166" fontId="14" fillId="4" borderId="0" xfId="2" applyNumberFormat="1" applyFont="1" applyFill="1" applyBorder="1" applyAlignment="1">
      <alignment horizontal="right" vertical="center"/>
    </xf>
    <xf numFmtId="166" fontId="14" fillId="4" borderId="9" xfId="2" applyNumberFormat="1" applyFont="1" applyFill="1" applyBorder="1" applyAlignment="1">
      <alignment horizontal="right" vertical="center"/>
    </xf>
    <xf numFmtId="167" fontId="14" fillId="4" borderId="8" xfId="0" applyNumberFormat="1" applyFont="1" applyFill="1" applyBorder="1" applyAlignment="1">
      <alignment horizontal="right" vertical="center"/>
    </xf>
    <xf numFmtId="0" fontId="14" fillId="0" borderId="0" xfId="0" applyFont="1" applyAlignment="1">
      <alignment horizontal="left" vertical="center"/>
    </xf>
    <xf numFmtId="0" fontId="19" fillId="6" borderId="0" xfId="0" applyFont="1" applyFill="1" applyAlignment="1">
      <alignment horizontal="left" vertical="center"/>
    </xf>
    <xf numFmtId="0" fontId="14" fillId="0" borderId="3" xfId="0" applyFont="1" applyBorder="1" applyAlignment="1">
      <alignment horizontal="left" vertical="center"/>
    </xf>
    <xf numFmtId="0" fontId="14" fillId="0" borderId="2" xfId="0" applyFont="1" applyBorder="1" applyAlignment="1">
      <alignment horizontal="left" vertical="center"/>
    </xf>
    <xf numFmtId="0" fontId="20" fillId="9" borderId="6" xfId="0" applyFont="1" applyFill="1" applyBorder="1" applyAlignment="1">
      <alignment horizontal="left" vertical="center"/>
    </xf>
    <xf numFmtId="0" fontId="29" fillId="2" borderId="1" xfId="0" applyFont="1" applyFill="1" applyBorder="1" applyAlignment="1">
      <alignment horizontal="left" vertical="center"/>
    </xf>
    <xf numFmtId="0" fontId="20" fillId="4" borderId="6" xfId="0" applyFont="1" applyFill="1" applyBorder="1" applyAlignment="1">
      <alignment horizontal="left" vertical="center"/>
    </xf>
    <xf numFmtId="0" fontId="20" fillId="8" borderId="6" xfId="0" applyFont="1" applyFill="1" applyBorder="1" applyAlignment="1">
      <alignment horizontal="left" vertical="center"/>
    </xf>
    <xf numFmtId="0" fontId="20" fillId="0" borderId="6" xfId="0" applyFont="1" applyBorder="1" applyAlignment="1">
      <alignment horizontal="left" vertical="center"/>
    </xf>
    <xf numFmtId="0" fontId="22" fillId="4" borderId="0" xfId="0" applyFont="1" applyFill="1" applyAlignment="1">
      <alignment horizontal="left" vertical="center"/>
    </xf>
    <xf numFmtId="0" fontId="22" fillId="4" borderId="9" xfId="0" applyFont="1" applyFill="1" applyBorder="1" applyAlignment="1">
      <alignment horizontal="left" vertical="center"/>
    </xf>
    <xf numFmtId="0" fontId="22" fillId="4" borderId="8" xfId="0" applyFont="1" applyFill="1" applyBorder="1" applyAlignment="1">
      <alignment horizontal="left" vertical="center"/>
    </xf>
    <xf numFmtId="168" fontId="14" fillId="2" borderId="0" xfId="2" applyNumberFormat="1" applyFont="1" applyFill="1" applyBorder="1" applyAlignment="1">
      <alignment horizontal="right" vertical="center"/>
    </xf>
    <xf numFmtId="168" fontId="14" fillId="2" borderId="3" xfId="2" applyNumberFormat="1" applyFont="1" applyFill="1" applyBorder="1" applyAlignment="1">
      <alignment horizontal="right" vertical="center"/>
    </xf>
    <xf numFmtId="168" fontId="14" fillId="2" borderId="2" xfId="2" applyNumberFormat="1" applyFont="1" applyFill="1" applyBorder="1" applyAlignment="1">
      <alignment horizontal="right" vertical="center"/>
    </xf>
    <xf numFmtId="168" fontId="14" fillId="2" borderId="0" xfId="0" applyNumberFormat="1" applyFont="1" applyFill="1" applyAlignment="1">
      <alignment horizontal="right" vertical="center"/>
    </xf>
    <xf numFmtId="168" fontId="27" fillId="2" borderId="6" xfId="2" applyNumberFormat="1" applyFont="1" applyFill="1" applyBorder="1" applyAlignment="1">
      <alignment horizontal="right" vertical="center"/>
    </xf>
    <xf numFmtId="168" fontId="19" fillId="2" borderId="0" xfId="0" applyNumberFormat="1" applyFont="1" applyFill="1" applyAlignment="1">
      <alignment horizontal="right" vertical="center"/>
    </xf>
    <xf numFmtId="168" fontId="14" fillId="2" borderId="3" xfId="0" applyNumberFormat="1" applyFont="1" applyFill="1" applyBorder="1" applyAlignment="1">
      <alignment horizontal="right" vertical="center"/>
    </xf>
    <xf numFmtId="168" fontId="14" fillId="2" borderId="2" xfId="0" applyNumberFormat="1" applyFont="1" applyFill="1" applyBorder="1" applyAlignment="1">
      <alignment horizontal="right" vertical="center"/>
    </xf>
    <xf numFmtId="168" fontId="20" fillId="2" borderId="6" xfId="0" applyNumberFormat="1" applyFont="1" applyFill="1" applyBorder="1" applyAlignment="1">
      <alignment horizontal="right" vertical="center"/>
    </xf>
    <xf numFmtId="168" fontId="32" fillId="2" borderId="6" xfId="2" applyNumberFormat="1" applyFont="1" applyFill="1" applyBorder="1" applyAlignment="1">
      <alignment horizontal="right" vertical="center"/>
    </xf>
    <xf numFmtId="168" fontId="23" fillId="2" borderId="0" xfId="0" applyNumberFormat="1" applyFont="1" applyFill="1" applyAlignment="1">
      <alignment horizontal="right" vertical="center"/>
    </xf>
    <xf numFmtId="168" fontId="23" fillId="2" borderId="3" xfId="0" applyNumberFormat="1" applyFont="1" applyFill="1" applyBorder="1" applyAlignment="1">
      <alignment horizontal="right" vertical="center"/>
    </xf>
    <xf numFmtId="168" fontId="23" fillId="2" borderId="2" xfId="0" applyNumberFormat="1" applyFont="1" applyFill="1" applyBorder="1" applyAlignment="1">
      <alignment horizontal="right" vertical="center"/>
    </xf>
    <xf numFmtId="168" fontId="22" fillId="2" borderId="6" xfId="0" applyNumberFormat="1" applyFont="1" applyFill="1" applyBorder="1" applyAlignment="1">
      <alignment horizontal="right" vertical="center"/>
    </xf>
    <xf numFmtId="0" fontId="31" fillId="6" borderId="0" xfId="0" applyFont="1" applyFill="1" applyAlignment="1">
      <alignment horizontal="center" vertical="center"/>
    </xf>
    <xf numFmtId="0" fontId="31" fillId="6" borderId="0" xfId="0" applyFont="1" applyFill="1" applyAlignment="1">
      <alignment horizontal="left" vertical="center"/>
    </xf>
    <xf numFmtId="0" fontId="14" fillId="0" borderId="11" xfId="0" applyFont="1" applyBorder="1" applyAlignment="1">
      <alignment vertical="center"/>
    </xf>
    <xf numFmtId="0" fontId="14" fillId="0" borderId="10" xfId="0" applyFont="1" applyBorder="1" applyAlignment="1">
      <alignment horizontal="left" vertical="center"/>
    </xf>
    <xf numFmtId="0" fontId="21" fillId="9" borderId="11" xfId="0" applyFont="1" applyFill="1" applyBorder="1" applyAlignment="1">
      <alignment horizontal="left" vertical="center"/>
    </xf>
    <xf numFmtId="0" fontId="14" fillId="0" borderId="11" xfId="0" applyFont="1" applyBorder="1" applyAlignment="1">
      <alignment horizontal="left" vertical="center"/>
    </xf>
    <xf numFmtId="0" fontId="14" fillId="0" borderId="12" xfId="0" applyFont="1" applyBorder="1" applyAlignment="1">
      <alignment horizontal="left" vertical="center"/>
    </xf>
    <xf numFmtId="0" fontId="20" fillId="4" borderId="13" xfId="0" applyFont="1" applyFill="1" applyBorder="1" applyAlignment="1">
      <alignment horizontal="left" vertical="center"/>
    </xf>
    <xf numFmtId="0" fontId="15" fillId="5" borderId="6" xfId="0" applyFont="1" applyFill="1" applyBorder="1" applyAlignment="1">
      <alignment horizontal="left" vertical="center"/>
    </xf>
    <xf numFmtId="0" fontId="15" fillId="5" borderId="13" xfId="0" applyFont="1" applyFill="1" applyBorder="1" applyAlignment="1">
      <alignment horizontal="left" vertical="center"/>
    </xf>
    <xf numFmtId="0" fontId="22" fillId="4" borderId="14" xfId="0" applyFont="1" applyFill="1" applyBorder="1" applyAlignment="1">
      <alignment horizontal="left" vertical="center"/>
    </xf>
    <xf numFmtId="38" fontId="14" fillId="0" borderId="10" xfId="1" applyNumberFormat="1" applyFont="1" applyBorder="1" applyAlignment="1">
      <alignment horizontal="right" vertical="center"/>
    </xf>
    <xf numFmtId="38" fontId="21" fillId="9" borderId="11" xfId="1" applyNumberFormat="1" applyFont="1" applyFill="1" applyBorder="1" applyAlignment="1">
      <alignment horizontal="right" vertical="center"/>
    </xf>
    <xf numFmtId="38" fontId="14" fillId="0" borderId="11" xfId="1" applyNumberFormat="1" applyFont="1" applyBorder="1" applyAlignment="1">
      <alignment horizontal="right" vertical="center"/>
    </xf>
    <xf numFmtId="38" fontId="14" fillId="0" borderId="12" xfId="1" applyNumberFormat="1" applyFont="1" applyBorder="1" applyAlignment="1">
      <alignment horizontal="right" vertical="center"/>
    </xf>
    <xf numFmtId="38" fontId="14" fillId="0" borderId="10" xfId="0" applyNumberFormat="1" applyFont="1" applyBorder="1" applyAlignment="1">
      <alignment horizontal="right" vertical="center"/>
    </xf>
    <xf numFmtId="38" fontId="21" fillId="9" borderId="11" xfId="0" applyNumberFormat="1" applyFont="1" applyFill="1" applyBorder="1" applyAlignment="1">
      <alignment horizontal="right" vertical="center"/>
    </xf>
    <xf numFmtId="38" fontId="27" fillId="4" borderId="13" xfId="1" applyNumberFormat="1" applyFont="1" applyFill="1" applyBorder="1" applyAlignment="1">
      <alignment horizontal="right" vertical="center"/>
    </xf>
    <xf numFmtId="38" fontId="30" fillId="5" borderId="13" xfId="1" applyNumberFormat="1" applyFont="1" applyFill="1" applyBorder="1" applyAlignment="1">
      <alignment horizontal="right" vertical="center"/>
    </xf>
    <xf numFmtId="38" fontId="22" fillId="4" borderId="14" xfId="0" applyNumberFormat="1" applyFont="1" applyFill="1" applyBorder="1" applyAlignment="1">
      <alignment horizontal="right" vertical="center"/>
    </xf>
    <xf numFmtId="168" fontId="14" fillId="2" borderId="10" xfId="2" applyNumberFormat="1" applyFont="1" applyFill="1" applyBorder="1" applyAlignment="1">
      <alignment horizontal="right" vertical="center"/>
    </xf>
    <xf numFmtId="168" fontId="21" fillId="2" borderId="11" xfId="2" applyNumberFormat="1" applyFont="1" applyFill="1" applyBorder="1" applyAlignment="1">
      <alignment horizontal="right" vertical="center"/>
    </xf>
    <xf numFmtId="168" fontId="14" fillId="2" borderId="11" xfId="2" applyNumberFormat="1" applyFont="1" applyFill="1" applyBorder="1" applyAlignment="1">
      <alignment horizontal="right" vertical="center"/>
    </xf>
    <xf numFmtId="168" fontId="14" fillId="2" borderId="12" xfId="2" applyNumberFormat="1" applyFont="1" applyFill="1" applyBorder="1" applyAlignment="1">
      <alignment horizontal="right" vertical="center"/>
    </xf>
    <xf numFmtId="168" fontId="14" fillId="2" borderId="10" xfId="0" applyNumberFormat="1" applyFont="1" applyFill="1" applyBorder="1" applyAlignment="1">
      <alignment horizontal="right" vertical="center"/>
    </xf>
    <xf numFmtId="168" fontId="14" fillId="2" borderId="11" xfId="0" applyNumberFormat="1" applyFont="1" applyFill="1" applyBorder="1" applyAlignment="1">
      <alignment horizontal="right" vertical="center"/>
    </xf>
    <xf numFmtId="168" fontId="14" fillId="2" borderId="12" xfId="0" applyNumberFormat="1" applyFont="1" applyFill="1" applyBorder="1" applyAlignment="1">
      <alignment horizontal="right" vertical="center"/>
    </xf>
    <xf numFmtId="168" fontId="27" fillId="2" borderId="13" xfId="2" applyNumberFormat="1" applyFont="1" applyFill="1" applyBorder="1" applyAlignment="1">
      <alignment horizontal="right" vertical="center"/>
    </xf>
    <xf numFmtId="168" fontId="30" fillId="2" borderId="6" xfId="2" applyNumberFormat="1" applyFont="1" applyFill="1" applyBorder="1" applyAlignment="1">
      <alignment horizontal="right" vertical="center"/>
    </xf>
    <xf numFmtId="0" fontId="14" fillId="0" borderId="11" xfId="0" applyFont="1" applyBorder="1" applyAlignment="1">
      <alignment horizontal="left" vertical="center" indent="1"/>
    </xf>
    <xf numFmtId="0" fontId="22" fillId="4" borderId="0" xfId="0" applyFont="1" applyFill="1" applyAlignment="1">
      <alignment vertical="center"/>
    </xf>
    <xf numFmtId="38" fontId="27" fillId="8" borderId="6" xfId="1" applyNumberFormat="1" applyFont="1" applyFill="1" applyBorder="1" applyAlignment="1">
      <alignment horizontal="right" vertical="center"/>
    </xf>
    <xf numFmtId="38" fontId="27" fillId="9" borderId="13" xfId="1" applyNumberFormat="1" applyFont="1" applyFill="1" applyBorder="1" applyAlignment="1">
      <alignment horizontal="right" vertical="center"/>
    </xf>
    <xf numFmtId="38" fontId="20" fillId="2" borderId="13" xfId="1" applyNumberFormat="1" applyFont="1" applyFill="1" applyBorder="1" applyAlignment="1">
      <alignment horizontal="right" vertical="center"/>
    </xf>
    <xf numFmtId="168" fontId="20" fillId="2" borderId="13" xfId="2" applyNumberFormat="1" applyFont="1" applyFill="1" applyBorder="1" applyAlignment="1">
      <alignment horizontal="right" vertical="center"/>
    </xf>
    <xf numFmtId="38" fontId="30" fillId="5" borderId="6" xfId="1" applyNumberFormat="1" applyFont="1" applyFill="1" applyBorder="1" applyAlignment="1">
      <alignment horizontal="right" vertical="center"/>
    </xf>
    <xf numFmtId="38" fontId="15" fillId="3" borderId="0" xfId="0" applyNumberFormat="1" applyFont="1" applyFill="1" applyAlignment="1">
      <alignment horizontal="right" vertical="center"/>
    </xf>
    <xf numFmtId="38" fontId="14" fillId="8" borderId="2" xfId="0" applyNumberFormat="1" applyFont="1" applyFill="1" applyBorder="1" applyAlignment="1">
      <alignment horizontal="right" vertical="center"/>
    </xf>
    <xf numFmtId="0" fontId="20" fillId="9" borderId="13" xfId="0" applyFont="1" applyFill="1" applyBorder="1" applyAlignment="1">
      <alignment horizontal="left" vertical="center"/>
    </xf>
    <xf numFmtId="0" fontId="20" fillId="2" borderId="13" xfId="0" applyFont="1" applyFill="1" applyBorder="1" applyAlignment="1">
      <alignment horizontal="left" vertical="center"/>
    </xf>
    <xf numFmtId="0" fontId="20" fillId="0" borderId="1" xfId="0" applyFont="1" applyBorder="1" applyAlignment="1">
      <alignment horizontal="left" vertical="center"/>
    </xf>
    <xf numFmtId="0" fontId="20" fillId="0" borderId="2" xfId="0" applyFont="1" applyBorder="1" applyAlignment="1">
      <alignment horizontal="left" vertical="center"/>
    </xf>
    <xf numFmtId="0" fontId="20" fillId="8" borderId="2" xfId="0" applyFont="1" applyFill="1" applyBorder="1" applyAlignment="1">
      <alignment horizontal="left" vertical="center"/>
    </xf>
    <xf numFmtId="0" fontId="20" fillId="4" borderId="3" xfId="0" applyFont="1" applyFill="1" applyBorder="1" applyAlignment="1">
      <alignment horizontal="left" vertical="center"/>
    </xf>
    <xf numFmtId="0" fontId="22" fillId="4" borderId="7" xfId="0" applyFont="1" applyFill="1" applyBorder="1" applyAlignment="1">
      <alignment horizontal="left" vertical="center"/>
    </xf>
    <xf numFmtId="168" fontId="14" fillId="2" borderId="1" xfId="0" applyNumberFormat="1" applyFont="1" applyFill="1" applyBorder="1" applyAlignment="1">
      <alignment horizontal="right" vertical="center"/>
    </xf>
    <xf numFmtId="38" fontId="14" fillId="2" borderId="2" xfId="0" applyNumberFormat="1" applyFont="1" applyFill="1" applyBorder="1" applyAlignment="1">
      <alignment horizontal="right" vertical="center"/>
    </xf>
    <xf numFmtId="0" fontId="20" fillId="2" borderId="3" xfId="0" applyFont="1" applyFill="1" applyBorder="1" applyAlignment="1">
      <alignment horizontal="right" vertical="center"/>
    </xf>
    <xf numFmtId="0" fontId="14" fillId="2" borderId="0" xfId="0" applyFont="1" applyFill="1" applyAlignment="1">
      <alignment horizontal="right" vertical="center"/>
    </xf>
    <xf numFmtId="168" fontId="14" fillId="2" borderId="7" xfId="0" applyNumberFormat="1" applyFont="1" applyFill="1" applyBorder="1" applyAlignment="1">
      <alignment horizontal="right" vertical="center"/>
    </xf>
    <xf numFmtId="168" fontId="14" fillId="2" borderId="9" xfId="0" applyNumberFormat="1" applyFont="1" applyFill="1" applyBorder="1" applyAlignment="1">
      <alignment horizontal="right" vertical="center"/>
    </xf>
    <xf numFmtId="38" fontId="14" fillId="0" borderId="4" xfId="0" applyNumberFormat="1" applyFont="1" applyBorder="1" applyAlignment="1">
      <alignment vertical="center"/>
    </xf>
    <xf numFmtId="38" fontId="14" fillId="0" borderId="5" xfId="0" applyNumberFormat="1" applyFont="1" applyBorder="1" applyAlignment="1">
      <alignment vertical="center"/>
    </xf>
    <xf numFmtId="38" fontId="14" fillId="0" borderId="11" xfId="0" applyNumberFormat="1" applyFont="1" applyBorder="1" applyAlignment="1">
      <alignment horizontal="right" vertical="center"/>
    </xf>
    <xf numFmtId="0" fontId="14" fillId="0" borderId="11" xfId="0" applyFont="1" applyBorder="1" applyAlignment="1">
      <alignment vertical="center" wrapText="1"/>
    </xf>
    <xf numFmtId="0" fontId="15" fillId="3" borderId="0" xfId="0" applyFont="1" applyFill="1" applyAlignment="1">
      <alignment horizontal="center" vertical="center" wrapText="1"/>
    </xf>
    <xf numFmtId="0" fontId="20" fillId="9" borderId="10" xfId="0" applyFont="1" applyFill="1" applyBorder="1" applyAlignment="1">
      <alignment vertical="center"/>
    </xf>
    <xf numFmtId="38" fontId="20" fillId="9" borderId="10" xfId="0" applyNumberFormat="1" applyFont="1" applyFill="1" applyBorder="1" applyAlignment="1">
      <alignment horizontal="right" vertical="center"/>
    </xf>
    <xf numFmtId="0" fontId="20" fillId="9" borderId="10" xfId="0" applyFont="1" applyFill="1" applyBorder="1" applyAlignment="1">
      <alignment horizontal="center" vertical="center"/>
    </xf>
    <xf numFmtId="0" fontId="20" fillId="9" borderId="10" xfId="0" applyFont="1" applyFill="1" applyBorder="1" applyAlignment="1">
      <alignment vertical="center" wrapText="1"/>
    </xf>
    <xf numFmtId="0" fontId="20" fillId="9" borderId="12" xfId="0" applyFont="1" applyFill="1" applyBorder="1" applyAlignment="1">
      <alignment vertical="center"/>
    </xf>
    <xf numFmtId="38" fontId="20" fillId="9" borderId="12" xfId="0" applyNumberFormat="1" applyFont="1" applyFill="1" applyBorder="1" applyAlignment="1">
      <alignment horizontal="right" vertical="center"/>
    </xf>
    <xf numFmtId="0" fontId="20" fillId="9" borderId="12" xfId="0" applyFont="1" applyFill="1" applyBorder="1" applyAlignment="1">
      <alignment horizontal="center" vertical="center"/>
    </xf>
    <xf numFmtId="0" fontId="20" fillId="9" borderId="12" xfId="0" applyFont="1" applyFill="1" applyBorder="1" applyAlignment="1">
      <alignment vertical="center" wrapText="1"/>
    </xf>
    <xf numFmtId="38" fontId="22" fillId="4" borderId="0" xfId="0" applyNumberFormat="1" applyFont="1" applyFill="1" applyAlignment="1">
      <alignment horizontal="right" vertical="center"/>
    </xf>
    <xf numFmtId="0" fontId="33" fillId="10" borderId="11" xfId="0" applyFont="1" applyFill="1" applyBorder="1" applyAlignment="1">
      <alignment horizontal="center" vertical="center"/>
    </xf>
    <xf numFmtId="0" fontId="23" fillId="4" borderId="11" xfId="0" applyFont="1" applyFill="1" applyBorder="1" applyAlignment="1">
      <alignment horizontal="center" vertical="center"/>
    </xf>
    <xf numFmtId="38" fontId="14" fillId="0" borderId="1" xfId="0" applyNumberFormat="1" applyFont="1" applyBorder="1" applyAlignment="1">
      <alignment horizontal="right" vertical="center"/>
    </xf>
    <xf numFmtId="38" fontId="14" fillId="2" borderId="1" xfId="0" applyNumberFormat="1" applyFont="1" applyFill="1" applyBorder="1" applyAlignment="1">
      <alignment horizontal="right" vertical="center"/>
    </xf>
    <xf numFmtId="38" fontId="14" fillId="2" borderId="3" xfId="0" applyNumberFormat="1" applyFont="1" applyFill="1" applyBorder="1" applyAlignment="1">
      <alignment horizontal="right" vertical="center"/>
    </xf>
    <xf numFmtId="0" fontId="17" fillId="0" borderId="1" xfId="0" applyFont="1" applyBorder="1" applyAlignment="1">
      <alignment vertical="center" wrapText="1"/>
    </xf>
    <xf numFmtId="0" fontId="17" fillId="0" borderId="2" xfId="0" applyFont="1" applyBorder="1" applyAlignment="1">
      <alignment vertical="center" wrapText="1"/>
    </xf>
    <xf numFmtId="0" fontId="17" fillId="0" borderId="3" xfId="0" applyFont="1" applyBorder="1" applyAlignment="1">
      <alignment vertical="center" wrapText="1"/>
    </xf>
    <xf numFmtId="0" fontId="23" fillId="4" borderId="1" xfId="0" applyFont="1" applyFill="1" applyBorder="1" applyAlignment="1">
      <alignment vertical="center" wrapText="1"/>
    </xf>
    <xf numFmtId="0" fontId="14" fillId="8" borderId="2" xfId="0" applyFont="1" applyFill="1" applyBorder="1" applyAlignment="1">
      <alignment vertical="center" wrapText="1"/>
    </xf>
    <xf numFmtId="0" fontId="24" fillId="8" borderId="2" xfId="0" applyFont="1" applyFill="1" applyBorder="1" applyAlignment="1">
      <alignment vertical="center" wrapText="1"/>
    </xf>
    <xf numFmtId="0" fontId="23" fillId="4" borderId="1" xfId="0" applyFont="1" applyFill="1" applyBorder="1" applyAlignment="1">
      <alignment vertical="center"/>
    </xf>
    <xf numFmtId="0" fontId="23" fillId="4" borderId="2" xfId="0" applyFont="1" applyFill="1" applyBorder="1" applyAlignment="1">
      <alignment vertical="center"/>
    </xf>
    <xf numFmtId="0" fontId="23" fillId="4" borderId="3" xfId="0" applyFont="1" applyFill="1" applyBorder="1" applyAlignment="1">
      <alignment vertical="center"/>
    </xf>
    <xf numFmtId="38" fontId="20" fillId="4" borderId="2" xfId="0" applyNumberFormat="1" applyFont="1" applyFill="1" applyBorder="1" applyAlignment="1">
      <alignment horizontal="right" vertical="center"/>
    </xf>
    <xf numFmtId="0" fontId="20" fillId="4" borderId="2" xfId="0" applyFont="1" applyFill="1" applyBorder="1" applyAlignment="1">
      <alignment vertical="center" wrapText="1"/>
    </xf>
    <xf numFmtId="0" fontId="21" fillId="8" borderId="2" xfId="0" applyFont="1" applyFill="1" applyBorder="1" applyAlignment="1">
      <alignment vertical="center"/>
    </xf>
    <xf numFmtId="166" fontId="14" fillId="0" borderId="1" xfId="0" applyNumberFormat="1" applyFont="1" applyBorder="1" applyAlignment="1">
      <alignment horizontal="right" vertical="center"/>
    </xf>
    <xf numFmtId="0" fontId="21" fillId="3" borderId="0" xfId="0" applyFont="1" applyFill="1" applyAlignment="1">
      <alignment horizontal="center" vertical="center"/>
    </xf>
    <xf numFmtId="3" fontId="14" fillId="0" borderId="1" xfId="0" applyNumberFormat="1" applyFont="1" applyBorder="1" applyAlignment="1">
      <alignment horizontal="right" vertical="center"/>
    </xf>
    <xf numFmtId="0" fontId="21" fillId="9" borderId="1" xfId="0" applyFont="1" applyFill="1" applyBorder="1" applyAlignment="1">
      <alignment vertical="center"/>
    </xf>
    <xf numFmtId="38" fontId="20" fillId="9" borderId="1" xfId="0" applyNumberFormat="1" applyFont="1" applyFill="1" applyBorder="1" applyAlignment="1">
      <alignment horizontal="right" vertical="center"/>
    </xf>
    <xf numFmtId="0" fontId="20" fillId="9" borderId="1" xfId="0" applyFont="1" applyFill="1" applyBorder="1" applyAlignment="1">
      <alignment horizontal="center" vertical="center"/>
    </xf>
    <xf numFmtId="0" fontId="20" fillId="9" borderId="1" xfId="0" applyFont="1" applyFill="1" applyBorder="1" applyAlignment="1">
      <alignment vertical="center" wrapText="1"/>
    </xf>
    <xf numFmtId="0" fontId="20" fillId="9" borderId="1" xfId="0" applyFont="1" applyFill="1" applyBorder="1" applyAlignment="1">
      <alignment vertical="center"/>
    </xf>
    <xf numFmtId="0" fontId="21" fillId="9" borderId="3" xfId="0" applyFont="1" applyFill="1" applyBorder="1" applyAlignment="1">
      <alignment vertical="center"/>
    </xf>
    <xf numFmtId="38" fontId="20" fillId="9" borderId="3" xfId="0" applyNumberFormat="1" applyFont="1" applyFill="1" applyBorder="1" applyAlignment="1">
      <alignment horizontal="right" vertical="center"/>
    </xf>
    <xf numFmtId="0" fontId="20" fillId="9" borderId="3" xfId="0" applyFont="1" applyFill="1" applyBorder="1" applyAlignment="1">
      <alignment horizontal="center" vertical="center"/>
    </xf>
    <xf numFmtId="0" fontId="20" fillId="9" borderId="3" xfId="0" applyFont="1" applyFill="1" applyBorder="1" applyAlignment="1">
      <alignment vertical="center" wrapText="1"/>
    </xf>
    <xf numFmtId="0" fontId="20" fillId="9" borderId="3" xfId="0" applyFont="1" applyFill="1" applyBorder="1" applyAlignment="1">
      <alignment vertical="center"/>
    </xf>
    <xf numFmtId="0" fontId="33" fillId="10" borderId="2" xfId="0" applyFont="1" applyFill="1" applyBorder="1" applyAlignment="1">
      <alignment horizontal="center" vertical="center"/>
    </xf>
    <xf numFmtId="0" fontId="23" fillId="4" borderId="2" xfId="0" applyFont="1" applyFill="1" applyBorder="1" applyAlignment="1">
      <alignment horizontal="center" vertical="center"/>
    </xf>
    <xf numFmtId="38" fontId="22" fillId="4" borderId="4" xfId="0" applyNumberFormat="1" applyFont="1" applyFill="1" applyBorder="1" applyAlignment="1">
      <alignment vertical="center"/>
    </xf>
    <xf numFmtId="38" fontId="22" fillId="4" borderId="5" xfId="0" applyNumberFormat="1" applyFont="1" applyFill="1" applyBorder="1" applyAlignment="1">
      <alignment vertical="center"/>
    </xf>
    <xf numFmtId="0" fontId="5" fillId="3" borderId="0" xfId="0" applyFont="1" applyFill="1"/>
    <xf numFmtId="0" fontId="0" fillId="0" borderId="2" xfId="0" applyBorder="1"/>
    <xf numFmtId="0" fontId="0" fillId="0" borderId="3" xfId="0" applyBorder="1"/>
    <xf numFmtId="3" fontId="0" fillId="0" borderId="1" xfId="0" applyNumberFormat="1" applyBorder="1"/>
    <xf numFmtId="3" fontId="0" fillId="0" borderId="2" xfId="0" applyNumberFormat="1" applyBorder="1"/>
    <xf numFmtId="3" fontId="0" fillId="0" borderId="3" xfId="0" applyNumberFormat="1" applyBorder="1"/>
    <xf numFmtId="0" fontId="35" fillId="0" borderId="1" xfId="0" applyFont="1" applyBorder="1"/>
    <xf numFmtId="0" fontId="35" fillId="0" borderId="2" xfId="0" applyFont="1" applyBorder="1"/>
    <xf numFmtId="0" fontId="35" fillId="0" borderId="3" xfId="0" applyFont="1" applyBorder="1"/>
    <xf numFmtId="0" fontId="14" fillId="0" borderId="1" xfId="0" quotePrefix="1" applyFont="1" applyBorder="1" applyAlignment="1">
      <alignment vertical="center" wrapText="1"/>
    </xf>
    <xf numFmtId="0" fontId="14" fillId="0" borderId="2" xfId="0" quotePrefix="1" applyFont="1" applyBorder="1" applyAlignment="1">
      <alignment vertical="center" wrapText="1"/>
    </xf>
    <xf numFmtId="169" fontId="14" fillId="0" borderId="2" xfId="0" applyNumberFormat="1" applyFont="1" applyBorder="1" applyAlignment="1">
      <alignment horizontal="right" vertical="center"/>
    </xf>
    <xf numFmtId="0" fontId="14" fillId="0" borderId="2" xfId="0" applyFont="1" applyBorder="1" applyAlignment="1">
      <alignment horizontal="left" vertical="center" wrapText="1"/>
    </xf>
    <xf numFmtId="0" fontId="20" fillId="0" borderId="1" xfId="0" applyFont="1" applyBorder="1" applyAlignment="1">
      <alignment vertical="center" wrapText="1"/>
    </xf>
    <xf numFmtId="0" fontId="20" fillId="0" borderId="2" xfId="0" applyFont="1" applyBorder="1" applyAlignment="1">
      <alignment vertical="center" wrapText="1"/>
    </xf>
    <xf numFmtId="0" fontId="20" fillId="0" borderId="3" xfId="0" applyFont="1" applyBorder="1" applyAlignment="1">
      <alignment vertical="center" wrapText="1"/>
    </xf>
    <xf numFmtId="0" fontId="14" fillId="0" borderId="0" xfId="0" applyFont="1" applyAlignment="1">
      <alignment vertical="top"/>
    </xf>
    <xf numFmtId="0" fontId="14" fillId="0" borderId="0" xfId="0" applyFont="1" applyAlignment="1">
      <alignment vertical="top" wrapText="1"/>
    </xf>
    <xf numFmtId="0" fontId="15" fillId="3" borderId="0" xfId="0" applyFont="1" applyFill="1" applyAlignment="1">
      <alignment horizontal="center" vertical="top"/>
    </xf>
    <xf numFmtId="0" fontId="21" fillId="0" borderId="1" xfId="0" applyFont="1" applyBorder="1" applyAlignment="1">
      <alignment vertical="top"/>
    </xf>
    <xf numFmtId="0" fontId="21" fillId="0" borderId="2" xfId="0" applyFont="1" applyBorder="1" applyAlignment="1">
      <alignment vertical="top"/>
    </xf>
    <xf numFmtId="0" fontId="21" fillId="0" borderId="3" xfId="0" applyFont="1" applyBorder="1" applyAlignment="1">
      <alignment vertical="top"/>
    </xf>
    <xf numFmtId="3" fontId="14" fillId="0" borderId="1" xfId="0" applyNumberFormat="1" applyFont="1" applyBorder="1" applyAlignment="1">
      <alignment horizontal="right" vertical="top"/>
    </xf>
    <xf numFmtId="3" fontId="14" fillId="0" borderId="2" xfId="0" applyNumberFormat="1" applyFont="1" applyBorder="1" applyAlignment="1">
      <alignment horizontal="right" vertical="top"/>
    </xf>
    <xf numFmtId="10" fontId="14" fillId="0" borderId="2" xfId="0" applyNumberFormat="1" applyFont="1" applyBorder="1" applyAlignment="1">
      <alignment horizontal="right" vertical="top"/>
    </xf>
    <xf numFmtId="10" fontId="14" fillId="0" borderId="3" xfId="0" applyNumberFormat="1" applyFont="1" applyBorder="1" applyAlignment="1">
      <alignment horizontal="right" vertical="top"/>
    </xf>
    <xf numFmtId="0" fontId="14" fillId="0" borderId="1" xfId="0" applyFont="1" applyBorder="1" applyAlignment="1">
      <alignment vertical="top" wrapText="1"/>
    </xf>
    <xf numFmtId="0" fontId="14" fillId="0" borderId="2" xfId="0" applyFont="1" applyBorder="1" applyAlignment="1">
      <alignment vertical="top" wrapText="1"/>
    </xf>
    <xf numFmtId="0" fontId="14" fillId="0" borderId="3" xfId="0" applyFont="1" applyBorder="1" applyAlignment="1">
      <alignment vertical="top" wrapText="1"/>
    </xf>
    <xf numFmtId="170" fontId="31" fillId="6" borderId="0" xfId="0" applyNumberFormat="1" applyFont="1" applyFill="1" applyAlignment="1">
      <alignment horizontal="center" vertical="center"/>
    </xf>
    <xf numFmtId="170" fontId="31" fillId="6" borderId="0" xfId="0" applyNumberFormat="1" applyFont="1" applyFill="1" applyAlignment="1">
      <alignment horizontal="right" vertical="center"/>
    </xf>
    <xf numFmtId="10" fontId="14" fillId="0" borderId="1" xfId="0" applyNumberFormat="1" applyFont="1" applyBorder="1" applyAlignment="1">
      <alignment horizontal="right" vertical="top"/>
    </xf>
    <xf numFmtId="0" fontId="21" fillId="0" borderId="0" xfId="0" applyFont="1" applyAlignment="1">
      <alignment vertical="top"/>
    </xf>
    <xf numFmtId="10" fontId="14" fillId="0" borderId="0" xfId="0" applyNumberFormat="1" applyFont="1" applyAlignment="1">
      <alignment horizontal="right" vertical="top"/>
    </xf>
    <xf numFmtId="0" fontId="5" fillId="6" borderId="0" xfId="0" applyFont="1" applyFill="1"/>
    <xf numFmtId="0" fontId="0" fillId="0" borderId="0" xfId="0" applyAlignment="1">
      <alignment wrapText="1"/>
    </xf>
    <xf numFmtId="171" fontId="0" fillId="0" borderId="0" xfId="0" applyNumberFormat="1"/>
    <xf numFmtId="10" fontId="0" fillId="0" borderId="0" xfId="0" applyNumberFormat="1"/>
    <xf numFmtId="173" fontId="0" fillId="0" borderId="0" xfId="0" applyNumberFormat="1"/>
    <xf numFmtId="173" fontId="14" fillId="0" borderId="3" xfId="0" applyNumberFormat="1" applyFont="1" applyBorder="1" applyAlignment="1">
      <alignment horizontal="right" vertical="center"/>
    </xf>
    <xf numFmtId="173" fontId="14" fillId="0" borderId="2" xfId="0" applyNumberFormat="1" applyFont="1" applyBorder="1" applyAlignment="1">
      <alignment horizontal="right" vertical="center"/>
    </xf>
    <xf numFmtId="175" fontId="14" fillId="0" borderId="2" xfId="0" applyNumberFormat="1" applyFont="1" applyBorder="1" applyAlignment="1">
      <alignment horizontal="right" vertical="center"/>
    </xf>
    <xf numFmtId="173" fontId="14" fillId="4" borderId="9" xfId="0" applyNumberFormat="1" applyFont="1" applyFill="1" applyBorder="1" applyAlignment="1">
      <alignment horizontal="right" vertical="center"/>
    </xf>
    <xf numFmtId="0" fontId="5" fillId="3" borderId="0" xfId="0" applyFont="1" applyFill="1" applyAlignment="1">
      <alignment wrapText="1"/>
    </xf>
    <xf numFmtId="0" fontId="37" fillId="3" borderId="0" xfId="0" applyFont="1" applyFill="1"/>
    <xf numFmtId="0" fontId="38" fillId="0" borderId="0" xfId="0" applyFont="1"/>
    <xf numFmtId="0" fontId="39" fillId="12" borderId="0" xfId="0" applyFont="1" applyFill="1" applyAlignment="1">
      <alignment wrapText="1"/>
    </xf>
    <xf numFmtId="0" fontId="5" fillId="13" borderId="0" xfId="0" applyFont="1" applyFill="1"/>
    <xf numFmtId="0" fontId="35" fillId="2" borderId="2" xfId="0" applyFont="1" applyFill="1" applyBorder="1" applyAlignment="1">
      <alignment horizontal="center"/>
    </xf>
    <xf numFmtId="0" fontId="36" fillId="2" borderId="2" xfId="0" applyFont="1" applyFill="1" applyBorder="1" applyAlignment="1">
      <alignment wrapText="1"/>
    </xf>
    <xf numFmtId="0" fontId="35" fillId="11" borderId="0" xfId="0" applyFont="1" applyFill="1" applyAlignment="1">
      <alignment horizontal="center"/>
    </xf>
    <xf numFmtId="0" fontId="36" fillId="11" borderId="0" xfId="0" applyFont="1" applyFill="1" applyAlignment="1">
      <alignment wrapText="1"/>
    </xf>
    <xf numFmtId="0" fontId="35" fillId="2" borderId="3" xfId="0" applyFont="1" applyFill="1" applyBorder="1" applyAlignment="1">
      <alignment horizontal="center"/>
    </xf>
    <xf numFmtId="0" fontId="36" fillId="2" borderId="3" xfId="0" applyFont="1" applyFill="1" applyBorder="1" applyAlignment="1">
      <alignment wrapText="1"/>
    </xf>
    <xf numFmtId="0" fontId="35" fillId="11" borderId="3" xfId="0" applyFont="1" applyFill="1" applyBorder="1" applyAlignment="1">
      <alignment horizontal="center"/>
    </xf>
    <xf numFmtId="0" fontId="36" fillId="11" borderId="3" xfId="0" applyFont="1" applyFill="1" applyBorder="1" applyAlignment="1">
      <alignment wrapText="1"/>
    </xf>
    <xf numFmtId="0" fontId="8" fillId="5" borderId="0" xfId="0" applyFont="1" applyFill="1" applyAlignment="1">
      <alignment horizontal="center" vertical="center"/>
    </xf>
    <xf numFmtId="0" fontId="9" fillId="0" borderId="0" xfId="0" applyFont="1" applyAlignment="1">
      <alignment horizontal="center" vertical="center"/>
    </xf>
    <xf numFmtId="0" fontId="10" fillId="7" borderId="0" xfId="0" applyFont="1" applyFill="1" applyAlignment="1">
      <alignment horizontal="center" vertical="center"/>
    </xf>
    <xf numFmtId="0" fontId="5" fillId="3" borderId="0" xfId="0" applyFont="1" applyFill="1"/>
    <xf numFmtId="0" fontId="12" fillId="0" borderId="3" xfId="0" applyFont="1" applyBorder="1" applyAlignment="1">
      <alignment horizontal="left" vertical="center"/>
    </xf>
    <xf numFmtId="0" fontId="7" fillId="0" borderId="3" xfId="0" applyFont="1" applyBorder="1" applyAlignment="1">
      <alignment horizontal="left" vertical="center" wrapText="1"/>
    </xf>
    <xf numFmtId="0" fontId="11" fillId="6" borderId="0" xfId="0" applyFont="1" applyFill="1" applyAlignment="1">
      <alignment horizontal="left" vertical="center"/>
    </xf>
    <xf numFmtId="0" fontId="12" fillId="0" borderId="2" xfId="0" applyFont="1" applyBorder="1" applyAlignment="1">
      <alignment horizontal="left" vertical="center"/>
    </xf>
    <xf numFmtId="0" fontId="7" fillId="0" borderId="2" xfId="0" applyFont="1" applyBorder="1" applyAlignment="1">
      <alignment horizontal="left" vertical="center" wrapText="1"/>
    </xf>
    <xf numFmtId="0" fontId="12" fillId="0" borderId="0" xfId="0" applyFont="1" applyAlignment="1">
      <alignment horizontal="left" vertical="center"/>
    </xf>
    <xf numFmtId="0" fontId="7" fillId="0" borderId="0" xfId="0" applyFont="1" applyAlignment="1">
      <alignment horizontal="left" vertical="center" wrapText="1"/>
    </xf>
    <xf numFmtId="14" fontId="7" fillId="0" borderId="3" xfId="0" applyNumberFormat="1" applyFont="1" applyBorder="1" applyAlignment="1">
      <alignment horizontal="left" vertical="center" wrapText="1"/>
    </xf>
    <xf numFmtId="0" fontId="12" fillId="2" borderId="0" xfId="0" applyFont="1" applyFill="1" applyAlignment="1">
      <alignment horizontal="left" vertical="center"/>
    </xf>
    <xf numFmtId="0" fontId="7" fillId="2" borderId="0" xfId="0" applyFont="1" applyFill="1" applyAlignment="1">
      <alignment horizontal="left" vertical="center" wrapText="1"/>
    </xf>
    <xf numFmtId="0" fontId="12" fillId="2" borderId="3" xfId="0" applyFont="1" applyFill="1" applyBorder="1" applyAlignment="1">
      <alignment horizontal="left" vertical="center"/>
    </xf>
    <xf numFmtId="0" fontId="7" fillId="2" borderId="3" xfId="0" applyFont="1" applyFill="1" applyBorder="1" applyAlignment="1">
      <alignment horizontal="left" vertical="center" wrapText="1"/>
    </xf>
    <xf numFmtId="0" fontId="12" fillId="2" borderId="2" xfId="0" applyFont="1" applyFill="1" applyBorder="1" applyAlignment="1">
      <alignment horizontal="left" vertical="center"/>
    </xf>
    <xf numFmtId="0" fontId="7" fillId="2" borderId="2" xfId="0" applyFont="1" applyFill="1" applyBorder="1" applyAlignment="1">
      <alignment horizontal="left" vertical="center" wrapText="1"/>
    </xf>
    <xf numFmtId="0" fontId="6" fillId="6" borderId="0" xfId="0" applyFont="1" applyFill="1"/>
    <xf numFmtId="0" fontId="13" fillId="4" borderId="0" xfId="0" applyFont="1" applyFill="1" applyAlignment="1">
      <alignment horizontal="left" vertical="center"/>
    </xf>
    <xf numFmtId="0" fontId="7" fillId="4" borderId="0" xfId="0" applyFont="1" applyFill="1" applyAlignment="1">
      <alignment horizontal="left" vertical="center" wrapText="1"/>
    </xf>
    <xf numFmtId="0" fontId="13" fillId="4" borderId="3" xfId="0" applyFont="1" applyFill="1" applyBorder="1" applyAlignment="1">
      <alignment horizontal="left" vertical="center"/>
    </xf>
    <xf numFmtId="0" fontId="7" fillId="4" borderId="3" xfId="0" applyFont="1" applyFill="1" applyBorder="1" applyAlignment="1">
      <alignment horizontal="left" vertical="center" wrapText="1"/>
    </xf>
    <xf numFmtId="0" fontId="7" fillId="2" borderId="0" xfId="0" applyFont="1" applyFill="1" applyAlignment="1">
      <alignment vertical="center" wrapText="1"/>
    </xf>
    <xf numFmtId="0" fontId="7" fillId="2" borderId="3" xfId="0" applyFont="1" applyFill="1" applyBorder="1" applyAlignment="1">
      <alignment vertical="center" wrapText="1"/>
    </xf>
    <xf numFmtId="0" fontId="7" fillId="2" borderId="2" xfId="0" applyFont="1" applyFill="1" applyBorder="1" applyAlignment="1">
      <alignment vertical="center" wrapText="1"/>
    </xf>
    <xf numFmtId="0" fontId="13" fillId="4" borderId="0" xfId="0" applyFont="1" applyFill="1" applyAlignment="1">
      <alignment horizontal="center" vertical="center" wrapText="1"/>
    </xf>
    <xf numFmtId="0" fontId="13" fillId="4" borderId="2" xfId="0" applyFont="1" applyFill="1" applyBorder="1" applyAlignment="1">
      <alignment horizontal="left" vertical="center"/>
    </xf>
    <xf numFmtId="0" fontId="7" fillId="4" borderId="2" xfId="0" applyFont="1" applyFill="1" applyBorder="1" applyAlignment="1">
      <alignment horizontal="left" vertical="center" wrapText="1"/>
    </xf>
    <xf numFmtId="0" fontId="0" fillId="0" borderId="0" xfId="0" applyAlignment="1">
      <alignment wrapText="1"/>
    </xf>
    <xf numFmtId="0" fontId="16" fillId="5" borderId="0" xfId="0" applyFont="1" applyFill="1" applyAlignment="1">
      <alignment horizontal="center" vertical="center"/>
    </xf>
    <xf numFmtId="0" fontId="18" fillId="0" borderId="0" xfId="0" applyFont="1" applyAlignment="1">
      <alignment horizontal="center" vertical="center"/>
    </xf>
    <xf numFmtId="0" fontId="17" fillId="7" borderId="0" xfId="0" applyFont="1" applyFill="1" applyAlignment="1">
      <alignment horizontal="center" vertical="center"/>
    </xf>
    <xf numFmtId="0" fontId="19" fillId="6" borderId="0" xfId="0" applyFont="1" applyFill="1" applyAlignment="1">
      <alignment vertical="center"/>
    </xf>
    <xf numFmtId="0" fontId="14" fillId="0" borderId="2" xfId="0" applyFont="1" applyBorder="1" applyAlignment="1">
      <alignment vertical="center" wrapText="1"/>
    </xf>
    <xf numFmtId="0" fontId="14" fillId="0" borderId="0" xfId="0" applyFont="1" applyAlignment="1">
      <alignment vertical="center" wrapText="1"/>
    </xf>
    <xf numFmtId="0" fontId="14" fillId="0" borderId="3" xfId="0" applyFont="1" applyBorder="1" applyAlignment="1">
      <alignment vertical="center" wrapText="1"/>
    </xf>
    <xf numFmtId="0" fontId="22" fillId="4" borderId="0" xfId="0" applyFont="1" applyFill="1" applyAlignment="1">
      <alignment vertical="center" wrapText="1"/>
    </xf>
    <xf numFmtId="0" fontId="14" fillId="0" borderId="1" xfId="0" applyFont="1" applyBorder="1" applyAlignment="1">
      <alignment vertical="center" wrapText="1"/>
    </xf>
    <xf numFmtId="0" fontId="23" fillId="4" borderId="0" xfId="0" applyFont="1" applyFill="1" applyAlignment="1">
      <alignment vertical="center" wrapText="1"/>
    </xf>
    <xf numFmtId="0" fontId="14" fillId="0" borderId="0" xfId="0" applyFont="1" applyAlignment="1">
      <alignment vertical="top" wrapText="1"/>
    </xf>
    <xf numFmtId="0" fontId="19" fillId="6" borderId="0" xfId="0" applyFont="1" applyFill="1" applyAlignment="1">
      <alignment vertical="top"/>
    </xf>
    <xf numFmtId="0" fontId="22" fillId="4" borderId="0" xfId="0" applyFont="1" applyFill="1" applyAlignment="1">
      <alignment vertical="top" wrapText="1"/>
    </xf>
    <xf numFmtId="0" fontId="18" fillId="0" borderId="0" xfId="0" applyFont="1" applyAlignment="1">
      <alignment horizontal="center" vertical="top"/>
    </xf>
    <xf numFmtId="0" fontId="17" fillId="7" borderId="0" xfId="0" applyFont="1" applyFill="1" applyAlignment="1">
      <alignment horizontal="center" vertical="top"/>
    </xf>
    <xf numFmtId="0" fontId="19" fillId="6" borderId="0" xfId="0" applyFont="1" applyFill="1" applyAlignment="1">
      <alignment horizontal="left" vertical="center"/>
    </xf>
    <xf numFmtId="0" fontId="19" fillId="6" borderId="0" xfId="0" applyFont="1" applyFill="1" applyAlignment="1">
      <alignment horizontal="right" vertical="center"/>
    </xf>
    <xf numFmtId="38" fontId="19" fillId="6" borderId="0" xfId="0" applyNumberFormat="1" applyFont="1" applyFill="1" applyAlignment="1">
      <alignment horizontal="right" vertical="center"/>
    </xf>
    <xf numFmtId="168" fontId="19" fillId="2" borderId="0" xfId="0" applyNumberFormat="1" applyFont="1" applyFill="1" applyAlignment="1">
      <alignment horizontal="right" vertical="center"/>
    </xf>
    <xf numFmtId="0" fontId="28" fillId="0" borderId="0" xfId="0" applyFont="1" applyAlignment="1">
      <alignment horizontal="center" vertical="center"/>
    </xf>
    <xf numFmtId="0" fontId="22" fillId="4" borderId="0" xfId="0" applyFont="1" applyFill="1" applyAlignment="1">
      <alignment horizontal="center" vertical="center" wrapText="1"/>
    </xf>
    <xf numFmtId="0" fontId="19" fillId="6" borderId="0" xfId="0" applyFont="1" applyFill="1" applyAlignment="1">
      <alignment horizontal="center" vertical="center"/>
    </xf>
    <xf numFmtId="0" fontId="19" fillId="6" borderId="0" xfId="0" applyFont="1" applyFill="1" applyAlignment="1">
      <alignment vertical="center" wrapText="1"/>
    </xf>
    <xf numFmtId="0" fontId="17" fillId="2" borderId="0" xfId="0" applyFont="1" applyFill="1" applyAlignment="1">
      <alignment vertical="center" wrapText="1"/>
    </xf>
    <xf numFmtId="0" fontId="34" fillId="6" borderId="0" xfId="0" applyFont="1" applyFill="1" applyAlignment="1">
      <alignment vertical="center"/>
    </xf>
    <xf numFmtId="0" fontId="5" fillId="6" borderId="0" xfId="0" applyFont="1" applyFill="1"/>
    <xf numFmtId="0" fontId="16" fillId="3" borderId="0" xfId="0" applyFont="1" applyFill="1" applyAlignment="1">
      <alignment horizontal="center" vertical="center"/>
    </xf>
    <xf numFmtId="0" fontId="0" fillId="9" borderId="0" xfId="0" applyFill="1" applyAlignment="1">
      <alignment wrapText="1"/>
    </xf>
    <xf numFmtId="3" fontId="14" fillId="0" borderId="0" xfId="0" applyNumberFormat="1" applyFont="1" applyAlignment="1">
      <alignment horizontal="right" vertical="center"/>
    </xf>
    <xf numFmtId="0" fontId="14" fillId="0" borderId="0" xfId="0" applyFont="1" applyAlignment="1">
      <alignment horizontal="left" vertical="center" wrapText="1"/>
    </xf>
    <xf numFmtId="38" fontId="14" fillId="0" borderId="0" xfId="1" applyNumberFormat="1" applyFont="1" applyBorder="1" applyAlignment="1">
      <alignment horizontal="right" vertical="center" wrapText="1"/>
    </xf>
    <xf numFmtId="168" fontId="14" fillId="2" borderId="0" xfId="2" applyNumberFormat="1" applyFont="1" applyFill="1" applyBorder="1" applyAlignment="1">
      <alignment horizontal="right" vertical="center" wrapText="1"/>
    </xf>
    <xf numFmtId="38" fontId="14" fillId="0" borderId="2" xfId="1" applyNumberFormat="1" applyFont="1" applyBorder="1" applyAlignment="1">
      <alignment horizontal="right" vertical="center" wrapText="1"/>
    </xf>
    <xf numFmtId="168" fontId="14" fillId="2" borderId="2" xfId="2" applyNumberFormat="1" applyFont="1" applyFill="1" applyBorder="1" applyAlignment="1">
      <alignment horizontal="right" vertical="center" wrapText="1"/>
    </xf>
    <xf numFmtId="0" fontId="20" fillId="9" borderId="6" xfId="0" applyFont="1" applyFill="1" applyBorder="1" applyAlignment="1">
      <alignment horizontal="left" vertical="center" wrapText="1"/>
    </xf>
    <xf numFmtId="38" fontId="27" fillId="9" borderId="6" xfId="1" applyNumberFormat="1" applyFont="1" applyFill="1" applyBorder="1" applyAlignment="1">
      <alignment horizontal="right" vertical="center" wrapText="1"/>
    </xf>
    <xf numFmtId="168" fontId="27" fillId="2" borderId="6" xfId="2" applyNumberFormat="1" applyFont="1" applyFill="1" applyBorder="1" applyAlignment="1">
      <alignment horizontal="right" vertical="center" wrapText="1"/>
    </xf>
    <xf numFmtId="0" fontId="37" fillId="5" borderId="0" xfId="0" applyFont="1" applyFill="1"/>
    <xf numFmtId="0" fontId="42" fillId="0" borderId="0" xfId="0" applyFont="1"/>
    <xf numFmtId="0" fontId="5" fillId="14" borderId="0" xfId="0" applyFont="1" applyFill="1"/>
    <xf numFmtId="0" fontId="40" fillId="9" borderId="0" xfId="0" applyFont="1" applyFill="1" applyBorder="1" applyAlignment="1">
      <alignment horizontal="center"/>
    </xf>
    <xf numFmtId="0" fontId="0" fillId="0" borderId="0" xfId="0" applyBorder="1"/>
    <xf numFmtId="176" fontId="0" fillId="0" borderId="0" xfId="0" applyNumberFormat="1" applyBorder="1"/>
    <xf numFmtId="0" fontId="0" fillId="0" borderId="0" xfId="0" applyBorder="1" applyAlignment="1">
      <alignment wrapText="1"/>
    </xf>
    <xf numFmtId="0" fontId="0" fillId="0" borderId="4" xfId="0" applyBorder="1"/>
    <xf numFmtId="176" fontId="0" fillId="0" borderId="4" xfId="0" applyNumberFormat="1" applyBorder="1"/>
    <xf numFmtId="0" fontId="0" fillId="0" borderId="4" xfId="0" applyBorder="1" applyAlignment="1">
      <alignment wrapText="1"/>
    </xf>
    <xf numFmtId="0" fontId="35" fillId="0" borderId="0" xfId="0" applyFont="1" applyBorder="1"/>
    <xf numFmtId="38" fontId="14" fillId="0" borderId="0" xfId="0" applyNumberFormat="1" applyFont="1" applyAlignment="1">
      <alignment vertical="center"/>
    </xf>
    <xf numFmtId="0" fontId="6" fillId="6" borderId="0" xfId="0" applyFont="1" applyFill="1" applyAlignment="1">
      <alignment wrapText="1"/>
    </xf>
    <xf numFmtId="171" fontId="0" fillId="0" borderId="1" xfId="0" applyNumberFormat="1" applyBorder="1"/>
    <xf numFmtId="171" fontId="0" fillId="0" borderId="2" xfId="0" applyNumberFormat="1" applyBorder="1"/>
    <xf numFmtId="171" fontId="0" fillId="0" borderId="3" xfId="0" applyNumberFormat="1" applyBorder="1"/>
    <xf numFmtId="171" fontId="20" fillId="4" borderId="3" xfId="0" applyNumberFormat="1" applyFont="1" applyFill="1" applyBorder="1" applyAlignment="1">
      <alignment horizontal="right" vertical="center"/>
    </xf>
    <xf numFmtId="171" fontId="14" fillId="0" borderId="0" xfId="0" applyNumberFormat="1" applyFont="1" applyAlignment="1">
      <alignment horizontal="right" vertical="center"/>
    </xf>
    <xf numFmtId="0" fontId="20" fillId="2" borderId="3" xfId="0" applyFont="1" applyFill="1" applyBorder="1" applyAlignment="1">
      <alignment horizontal="right" vertical="center" wrapText="1"/>
    </xf>
    <xf numFmtId="0" fontId="14" fillId="2" borderId="0" xfId="0" applyFont="1" applyFill="1" applyAlignment="1">
      <alignment horizontal="right" vertical="center" wrapText="1"/>
    </xf>
    <xf numFmtId="0" fontId="15" fillId="14" borderId="2" xfId="0" applyFont="1" applyFill="1" applyBorder="1" applyAlignment="1">
      <alignment horizontal="left" vertical="center"/>
    </xf>
    <xf numFmtId="168" fontId="15" fillId="14" borderId="2" xfId="0" applyNumberFormat="1" applyFont="1" applyFill="1" applyBorder="1" applyAlignment="1">
      <alignment horizontal="right" vertical="center"/>
    </xf>
    <xf numFmtId="171" fontId="19" fillId="6" borderId="0" xfId="0" applyNumberFormat="1" applyFont="1" applyFill="1" applyAlignment="1">
      <alignment horizontal="right" vertical="center"/>
    </xf>
    <xf numFmtId="0" fontId="21" fillId="0" borderId="3" xfId="0" applyFont="1" applyBorder="1" applyAlignment="1">
      <alignment vertical="center" wrapText="1"/>
    </xf>
    <xf numFmtId="38" fontId="14" fillId="0" borderId="3" xfId="0" applyNumberFormat="1" applyFont="1" applyBorder="1" applyAlignment="1">
      <alignment horizontal="right" vertical="center" wrapText="1"/>
    </xf>
    <xf numFmtId="38" fontId="14" fillId="2" borderId="3" xfId="0" applyNumberFormat="1" applyFont="1" applyFill="1" applyBorder="1" applyAlignment="1">
      <alignment horizontal="right" vertical="center" wrapText="1"/>
    </xf>
    <xf numFmtId="1" fontId="0" fillId="0" borderId="0" xfId="0" applyNumberFormat="1" applyAlignment="1">
      <alignment wrapText="1"/>
    </xf>
    <xf numFmtId="166" fontId="19" fillId="6" borderId="0" xfId="0" applyNumberFormat="1" applyFont="1" applyFill="1" applyAlignment="1">
      <alignment horizontal="right" vertical="center"/>
    </xf>
    <xf numFmtId="1" fontId="35" fillId="11" borderId="0" xfId="0" applyNumberFormat="1" applyFont="1" applyFill="1" applyAlignment="1">
      <alignment horizontal="center"/>
    </xf>
    <xf numFmtId="1" fontId="35" fillId="2" borderId="3" xfId="0" applyNumberFormat="1" applyFont="1" applyFill="1" applyBorder="1" applyAlignment="1">
      <alignment horizontal="center"/>
    </xf>
    <xf numFmtId="1" fontId="35" fillId="11" borderId="3" xfId="0" applyNumberFormat="1" applyFont="1" applyFill="1" applyBorder="1" applyAlignment="1">
      <alignment horizontal="center"/>
    </xf>
    <xf numFmtId="1" fontId="35" fillId="2" borderId="2" xfId="0" applyNumberFormat="1" applyFont="1" applyFill="1" applyBorder="1" applyAlignment="1">
      <alignment horizontal="center"/>
    </xf>
    <xf numFmtId="1" fontId="5" fillId="3" borderId="0" xfId="0" applyNumberFormat="1" applyFont="1" applyFill="1"/>
    <xf numFmtId="1" fontId="0" fillId="0" borderId="1" xfId="0" applyNumberFormat="1" applyBorder="1" applyAlignment="1">
      <alignment horizontal="center"/>
    </xf>
    <xf numFmtId="1" fontId="0" fillId="0" borderId="2" xfId="0" applyNumberFormat="1" applyBorder="1" applyAlignment="1">
      <alignment horizontal="center"/>
    </xf>
    <xf numFmtId="1" fontId="0" fillId="0" borderId="3" xfId="0" applyNumberFormat="1" applyBorder="1" applyAlignment="1">
      <alignment horizontal="center"/>
    </xf>
    <xf numFmtId="1" fontId="25" fillId="0" borderId="1" xfId="0" applyNumberFormat="1" applyFont="1" applyBorder="1" applyAlignment="1">
      <alignment vertical="center"/>
    </xf>
    <xf numFmtId="1" fontId="25" fillId="0" borderId="2" xfId="0" applyNumberFormat="1" applyFont="1" applyBorder="1" applyAlignment="1">
      <alignment vertical="center"/>
    </xf>
    <xf numFmtId="1" fontId="25" fillId="0" borderId="3" xfId="0" applyNumberFormat="1" applyFont="1" applyBorder="1" applyAlignment="1">
      <alignment vertical="center"/>
    </xf>
    <xf numFmtId="1" fontId="22" fillId="4" borderId="0" xfId="0" applyNumberFormat="1" applyFont="1" applyFill="1" applyAlignment="1">
      <alignment horizontal="center" vertical="center"/>
    </xf>
    <xf numFmtId="1" fontId="0" fillId="0" borderId="0" xfId="0" applyNumberFormat="1"/>
    <xf numFmtId="0" fontId="43" fillId="0" borderId="0" xfId="0" applyFont="1" applyFill="1" applyBorder="1" applyAlignment="1">
      <alignment wrapText="1"/>
    </xf>
    <xf numFmtId="0" fontId="43" fillId="0" borderId="0" xfId="0" applyFont="1" applyFill="1" applyAlignment="1">
      <alignment wrapText="1"/>
    </xf>
    <xf numFmtId="1" fontId="14" fillId="0" borderId="3" xfId="0" applyNumberFormat="1" applyFont="1" applyBorder="1" applyAlignment="1">
      <alignment horizontal="right" vertical="center"/>
    </xf>
    <xf numFmtId="171" fontId="2" fillId="0" borderId="0" xfId="0" applyNumberFormat="1" applyFont="1"/>
    <xf numFmtId="0" fontId="15" fillId="14" borderId="0" xfId="0" applyFont="1" applyFill="1" applyAlignment="1">
      <alignment horizontal="center" vertical="center"/>
    </xf>
    <xf numFmtId="38" fontId="15" fillId="14" borderId="0" xfId="0" applyNumberFormat="1" applyFont="1" applyFill="1" applyAlignment="1">
      <alignment horizontal="center" vertical="center"/>
    </xf>
    <xf numFmtId="168" fontId="15" fillId="14" borderId="0" xfId="0" applyNumberFormat="1" applyFont="1" applyFill="1" applyAlignment="1">
      <alignment horizontal="center" vertical="center"/>
    </xf>
    <xf numFmtId="0" fontId="15" fillId="14" borderId="0" xfId="0" applyFont="1" applyFill="1" applyAlignment="1">
      <alignment horizontal="left" vertical="center"/>
    </xf>
    <xf numFmtId="171" fontId="15" fillId="14" borderId="0" xfId="0" applyNumberFormat="1" applyFont="1" applyFill="1" applyAlignment="1">
      <alignment horizontal="right" vertical="center"/>
    </xf>
    <xf numFmtId="0" fontId="15" fillId="14" borderId="0" xfId="0" applyFont="1" applyFill="1" applyAlignment="1">
      <alignment horizontal="right" vertical="center"/>
    </xf>
    <xf numFmtId="0" fontId="15" fillId="14" borderId="0" xfId="0" applyFont="1" applyFill="1" applyAlignment="1">
      <alignment horizontal="right" vertical="center" wrapText="1"/>
    </xf>
    <xf numFmtId="0" fontId="44" fillId="14" borderId="0" xfId="0" applyFont="1" applyFill="1"/>
    <xf numFmtId="171" fontId="3" fillId="0" borderId="0" xfId="0" applyNumberFormat="1" applyFont="1"/>
    <xf numFmtId="171" fontId="26" fillId="0" borderId="1" xfId="1" applyNumberFormat="1" applyFont="1" applyBorder="1" applyAlignment="1">
      <alignment horizontal="right" vertical="center"/>
    </xf>
    <xf numFmtId="171" fontId="14" fillId="0" borderId="2" xfId="0" applyNumberFormat="1" applyFont="1" applyBorder="1" applyAlignment="1">
      <alignment horizontal="right" vertical="center"/>
    </xf>
    <xf numFmtId="171" fontId="14" fillId="8" borderId="2" xfId="0" applyNumberFormat="1" applyFont="1" applyFill="1" applyBorder="1" applyAlignment="1">
      <alignment horizontal="right" vertical="center"/>
    </xf>
    <xf numFmtId="171" fontId="15" fillId="14" borderId="2" xfId="2" applyNumberFormat="1" applyFont="1" applyFill="1" applyBorder="1" applyAlignment="1">
      <alignment horizontal="right" vertical="center"/>
    </xf>
    <xf numFmtId="171" fontId="15" fillId="3" borderId="0" xfId="0" applyNumberFormat="1" applyFont="1" applyFill="1" applyAlignment="1">
      <alignment horizontal="center" vertical="center"/>
    </xf>
    <xf numFmtId="171" fontId="14" fillId="4" borderId="7" xfId="0" applyNumberFormat="1" applyFont="1" applyFill="1" applyBorder="1" applyAlignment="1">
      <alignment horizontal="right" vertical="center"/>
    </xf>
    <xf numFmtId="171" fontId="14" fillId="4" borderId="9" xfId="0" applyNumberFormat="1" applyFont="1" applyFill="1" applyBorder="1" applyAlignment="1">
      <alignment horizontal="right" vertical="center"/>
    </xf>
    <xf numFmtId="171" fontId="44" fillId="14" borderId="0" xfId="0" applyNumberFormat="1" applyFont="1" applyFill="1"/>
    <xf numFmtId="166" fontId="2" fillId="0" borderId="0" xfId="0" applyNumberFormat="1" applyFont="1"/>
    <xf numFmtId="168" fontId="2" fillId="0" borderId="0" xfId="0" applyNumberFormat="1" applyFont="1"/>
    <xf numFmtId="168" fontId="14" fillId="2" borderId="7" xfId="0" applyNumberFormat="1" applyFont="1" applyFill="1" applyBorder="1" applyAlignment="1">
      <alignment horizontal="right" vertical="center" wrapText="1"/>
    </xf>
    <xf numFmtId="168" fontId="14" fillId="2" borderId="9" xfId="0" applyNumberFormat="1" applyFont="1" applyFill="1" applyBorder="1" applyAlignment="1">
      <alignment horizontal="right" vertical="center" wrapText="1"/>
    </xf>
    <xf numFmtId="0" fontId="3" fillId="0" borderId="0" xfId="0" applyFont="1" applyAlignment="1">
      <alignment wrapText="1"/>
    </xf>
    <xf numFmtId="1" fontId="0" fillId="0" borderId="0" xfId="0" applyNumberFormat="1" applyBorder="1" applyAlignment="1">
      <alignment horizontal="center"/>
    </xf>
    <xf numFmtId="0" fontId="41" fillId="0" borderId="0" xfId="0" applyFont="1" applyAlignment="1">
      <alignment wrapText="1"/>
    </xf>
    <xf numFmtId="0" fontId="45" fillId="2" borderId="0" xfId="0" applyFont="1" applyFill="1" applyAlignment="1">
      <alignment horizontal="right" vertical="center"/>
    </xf>
    <xf numFmtId="0" fontId="45" fillId="2" borderId="0" xfId="0" applyFont="1" applyFill="1" applyAlignment="1">
      <alignment horizontal="right" vertical="center" wrapText="1"/>
    </xf>
  </cellXfs>
  <cellStyles count="3">
    <cellStyle name="Comma" xfId="1" builtinId="3"/>
    <cellStyle name="Normal" xfId="0" builtinId="0"/>
    <cellStyle name="Percent" xfId="2" builtinId="5"/>
  </cellStyles>
  <dxfs count="30">
    <dxf>
      <numFmt numFmtId="1" formatCode="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0" formatCode="General"/>
    </dxf>
    <dxf>
      <alignment wrapText="1"/>
    </dxf>
    <dxf>
      <alignment wrapText="1"/>
    </dxf>
    <dxf>
      <numFmt numFmtId="171" formatCode="#,##0;[Red]\(#,##0\)"/>
    </dxf>
    <dxf>
      <numFmt numFmtId="171" formatCode="#,##0;[Red]\(#,##0\)"/>
    </dxf>
    <dxf>
      <numFmt numFmtId="171" formatCode="#,##0;[Red]\(#,##0\)"/>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baseline="0">
                <a:solidFill>
                  <a:sysClr val="windowText" lastClr="000000"/>
                </a:solidFill>
                <a:latin typeface="Georgia" panose="02040502050405020303" pitchFamily="18" charset="0"/>
                <a:ea typeface="+mn-ea"/>
                <a:cs typeface="+mn-cs"/>
              </a:defRPr>
            </a:pPr>
            <a:r>
              <a:rPr lang="en-US"/>
              <a:t>BNP Paribas — NBI vs Net Income (€M), FY 2022 Restated–FY 2024</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Georgia" panose="02040502050405020303" pitchFamily="18" charset="0"/>
              <a:ea typeface="+mn-ea"/>
              <a:cs typeface="+mn-cs"/>
            </a:defRPr>
          </a:pPr>
          <a:endParaRPr lang="en-US"/>
        </a:p>
      </c:txPr>
    </c:title>
    <c:autoTitleDeleted val="0"/>
    <c:plotArea>
      <c:layout/>
      <c:barChart>
        <c:barDir val="col"/>
        <c:grouping val="clustered"/>
        <c:varyColors val="0"/>
        <c:ser>
          <c:idx val="0"/>
          <c:order val="0"/>
          <c:tx>
            <c:v>Net Banking Income (€M)</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eorgia" panose="020405020504050203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🔗CHART_SOURCE!$B$6:$D$6</c:f>
              <c:strCache>
                <c:ptCount val="3"/>
                <c:pt idx="0">
                  <c:v>FY 2022 Restated</c:v>
                </c:pt>
                <c:pt idx="1">
                  <c:v>FY 2023</c:v>
                </c:pt>
                <c:pt idx="2">
                  <c:v>FY 2024</c:v>
                </c:pt>
              </c:strCache>
            </c:strRef>
          </c:cat>
          <c:val>
            <c:numRef>
              <c:f>🔗CHART_SOURCE!$B$7:$D$7</c:f>
              <c:numCache>
                <c:formatCode>#,##0</c:formatCode>
                <c:ptCount val="3"/>
                <c:pt idx="0">
                  <c:v>45430</c:v>
                </c:pt>
                <c:pt idx="1">
                  <c:v>45874</c:v>
                </c:pt>
                <c:pt idx="2">
                  <c:v>48831</c:v>
                </c:pt>
              </c:numCache>
            </c:numRef>
          </c:val>
          <c:extLst>
            <c:ext xmlns:c16="http://schemas.microsoft.com/office/drawing/2014/chart" uri="{C3380CC4-5D6E-409C-BE32-E72D297353CC}">
              <c16:uniqueId val="{00000000-E070-45DD-AFC9-C036AD0F0722}"/>
            </c:ext>
          </c:extLst>
        </c:ser>
        <c:dLbls>
          <c:dLblPos val="ctr"/>
          <c:showLegendKey val="0"/>
          <c:showVal val="1"/>
          <c:showCatName val="0"/>
          <c:showSerName val="0"/>
          <c:showPercent val="0"/>
          <c:showBubbleSize val="0"/>
        </c:dLbls>
        <c:gapWidth val="150"/>
        <c:axId val="1907564319"/>
        <c:axId val="1907538879"/>
      </c:barChart>
      <c:lineChart>
        <c:grouping val="standard"/>
        <c:varyColors val="0"/>
        <c:ser>
          <c:idx val="1"/>
          <c:order val="1"/>
          <c:tx>
            <c:v>Net Income — Equity Holders (€M)</c:v>
          </c:tx>
          <c:spPr>
            <a:ln w="31750" cap="rnd">
              <a:solidFill>
                <a:schemeClr val="accent2"/>
              </a:solidFill>
              <a:round/>
            </a:ln>
            <a:effectLst/>
          </c:spPr>
          <c:marker>
            <c:symbol val="circle"/>
            <c:size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numRef>
              <c:f>'📉 TRENDS_CHARTS'!$B$13:$D$13</c:f>
              <c:numCache>
                <c:formatCode>General</c:formatCode>
                <c:ptCount val="3"/>
              </c:numCache>
            </c:numRef>
          </c:cat>
          <c:val>
            <c:numRef>
              <c:f>🔗CHART_SOURCE!$B$8:$D$8</c:f>
              <c:numCache>
                <c:formatCode>#,##0</c:formatCode>
                <c:ptCount val="3"/>
                <c:pt idx="0">
                  <c:v>9848</c:v>
                </c:pt>
                <c:pt idx="1">
                  <c:v>10975</c:v>
                </c:pt>
                <c:pt idx="2">
                  <c:v>11688</c:v>
                </c:pt>
              </c:numCache>
            </c:numRef>
          </c:val>
          <c:smooth val="0"/>
          <c:extLst>
            <c:ext xmlns:c16="http://schemas.microsoft.com/office/drawing/2014/chart" uri="{C3380CC4-5D6E-409C-BE32-E72D297353CC}">
              <c16:uniqueId val="{00000001-E070-45DD-AFC9-C036AD0F0722}"/>
            </c:ext>
          </c:extLst>
        </c:ser>
        <c:dLbls>
          <c:showLegendKey val="0"/>
          <c:showVal val="0"/>
          <c:showCatName val="0"/>
          <c:showSerName val="0"/>
          <c:showPercent val="0"/>
          <c:showBubbleSize val="0"/>
        </c:dLbls>
        <c:marker val="1"/>
        <c:smooth val="0"/>
        <c:axId val="1907564319"/>
        <c:axId val="1907538879"/>
      </c:lineChart>
      <c:catAx>
        <c:axId val="190756431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Georgia" panose="02040502050405020303" pitchFamily="18" charset="0"/>
                    <a:ea typeface="+mn-ea"/>
                    <a:cs typeface="+mn-cs"/>
                  </a:defRPr>
                </a:pPr>
                <a:r>
                  <a:rPr lang="en-US"/>
                  <a:t>Fiscal 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Georgia" panose="02040502050405020303" pitchFamily="18" charset="0"/>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Georgia" panose="02040502050405020303" pitchFamily="18" charset="0"/>
                <a:ea typeface="+mn-ea"/>
                <a:cs typeface="+mn-cs"/>
              </a:defRPr>
            </a:pPr>
            <a:endParaRPr lang="en-US"/>
          </a:p>
        </c:txPr>
        <c:crossAx val="1907538879"/>
        <c:crosses val="autoZero"/>
        <c:auto val="1"/>
        <c:lblAlgn val="ctr"/>
        <c:lblOffset val="100"/>
        <c:noMultiLvlLbl val="0"/>
      </c:catAx>
      <c:valAx>
        <c:axId val="1907538879"/>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Georgia" panose="02040502050405020303" pitchFamily="18" charset="0"/>
                    <a:ea typeface="+mn-ea"/>
                    <a:cs typeface="+mn-cs"/>
                  </a:defRPr>
                </a:pPr>
                <a:r>
                  <a:rPr lang="en-US"/>
                  <a:t>€M</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Georgia" panose="02040502050405020303" pitchFamily="18" charset="0"/>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Georgia" panose="02040502050405020303" pitchFamily="18" charset="0"/>
                <a:ea typeface="+mn-ea"/>
                <a:cs typeface="+mn-cs"/>
              </a:defRPr>
            </a:pPr>
            <a:endParaRPr lang="en-US"/>
          </a:p>
        </c:txPr>
        <c:crossAx val="1907564319"/>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Georgia" panose="02040502050405020303" pitchFamily="18" charset="0"/>
              <a:ea typeface="+mn-ea"/>
              <a:cs typeface="+mn-cs"/>
            </a:defRPr>
          </a:pPr>
          <a:endParaRPr lang="en-US"/>
        </a:p>
      </c:txPr>
    </c:legend>
    <c:plotVisOnly val="0"/>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2">
          <a:lumMod val="15000"/>
          <a:lumOff val="85000"/>
        </a:schemeClr>
      </a:solid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Georgia" panose="02040502050405020303" pitchFamily="18" charset="0"/>
                <a:ea typeface="+mn-ea"/>
                <a:cs typeface="+mn-cs"/>
              </a:defRPr>
            </a:pPr>
            <a:r>
              <a:rPr lang="en-US"/>
              <a:t>BNP Paribas — ROE &amp; ROTE (%), FY 2022 Restated–FY 2024</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Georgia" panose="02040502050405020303" pitchFamily="18" charset="0"/>
              <a:ea typeface="+mn-ea"/>
              <a:cs typeface="+mn-cs"/>
            </a:defRPr>
          </a:pPr>
          <a:endParaRPr lang="en-US"/>
        </a:p>
      </c:txPr>
    </c:title>
    <c:autoTitleDeleted val="0"/>
    <c:plotArea>
      <c:layout/>
      <c:lineChart>
        <c:grouping val="standard"/>
        <c:varyColors val="0"/>
        <c:ser>
          <c:idx val="0"/>
          <c:order val="0"/>
          <c:tx>
            <c:v>ROE</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🔗CHART_SOURCE!$B$11:$D$11</c:f>
              <c:strCache>
                <c:ptCount val="3"/>
                <c:pt idx="0">
                  <c:v>FY 2022</c:v>
                </c:pt>
                <c:pt idx="1">
                  <c:v>FY 2023</c:v>
                </c:pt>
                <c:pt idx="2">
                  <c:v>FY 2024</c:v>
                </c:pt>
              </c:strCache>
            </c:strRef>
          </c:cat>
          <c:val>
            <c:numRef>
              <c:f>🔗CHART_SOURCE!$B$12:$D$12</c:f>
              <c:numCache>
                <c:formatCode>0.00%</c:formatCode>
                <c:ptCount val="3"/>
                <c:pt idx="0">
                  <c:v>8.2367651794264876E-2</c:v>
                </c:pt>
                <c:pt idx="1">
                  <c:v>8.9599516693267586E-2</c:v>
                </c:pt>
                <c:pt idx="2">
                  <c:v>9.2806466597056519E-2</c:v>
                </c:pt>
              </c:numCache>
            </c:numRef>
          </c:val>
          <c:smooth val="0"/>
          <c:extLst>
            <c:ext xmlns:c16="http://schemas.microsoft.com/office/drawing/2014/chart" uri="{C3380CC4-5D6E-409C-BE32-E72D297353CC}">
              <c16:uniqueId val="{00000000-4C8D-4663-8FCF-FA594F0F9459}"/>
            </c:ext>
          </c:extLst>
        </c:ser>
        <c:ser>
          <c:idx val="1"/>
          <c:order val="1"/>
          <c:tx>
            <c:v>ROTE</c:v>
          </c:tx>
          <c:spPr>
            <a:ln w="28575" cap="rnd">
              <a:solidFill>
                <a:schemeClr val="accent2"/>
              </a:solidFill>
              <a:round/>
            </a:ln>
            <a:effectLst/>
          </c:spPr>
          <c:marker>
            <c:symbol val="diamond"/>
            <c:size val="5"/>
            <c:spPr>
              <a:solidFill>
                <a:schemeClr val="accent2"/>
              </a:solidFill>
              <a:ln w="9525">
                <a:solidFill>
                  <a:schemeClr val="accent2"/>
                </a:solidFill>
              </a:ln>
              <a:effectLst/>
            </c:spPr>
          </c:marker>
          <c:cat>
            <c:strRef>
              <c:f>🔗CHART_SOURCE!$B$11:$D$11</c:f>
              <c:strCache>
                <c:ptCount val="3"/>
                <c:pt idx="0">
                  <c:v>FY 2022</c:v>
                </c:pt>
                <c:pt idx="1">
                  <c:v>FY 2023</c:v>
                </c:pt>
                <c:pt idx="2">
                  <c:v>FY 2024</c:v>
                </c:pt>
              </c:strCache>
            </c:strRef>
          </c:cat>
          <c:val>
            <c:numRef>
              <c:f>🔗CHART_SOURCE!$B$13:$D$13</c:f>
              <c:numCache>
                <c:formatCode>0.00%</c:formatCode>
                <c:ptCount val="3"/>
                <c:pt idx="0">
                  <c:v>8.9017847861555921E-2</c:v>
                </c:pt>
                <c:pt idx="1">
                  <c:v>9.7036303513642549E-2</c:v>
                </c:pt>
                <c:pt idx="2">
                  <c:v>0.10065189497343334</c:v>
                </c:pt>
              </c:numCache>
            </c:numRef>
          </c:val>
          <c:smooth val="0"/>
          <c:extLst>
            <c:ext xmlns:c16="http://schemas.microsoft.com/office/drawing/2014/chart" uri="{C3380CC4-5D6E-409C-BE32-E72D297353CC}">
              <c16:uniqueId val="{00000001-4C8D-4663-8FCF-FA594F0F9459}"/>
            </c:ext>
          </c:extLst>
        </c:ser>
        <c:dLbls>
          <c:showLegendKey val="0"/>
          <c:showVal val="0"/>
          <c:showCatName val="0"/>
          <c:showSerName val="0"/>
          <c:showPercent val="0"/>
          <c:showBubbleSize val="0"/>
        </c:dLbls>
        <c:marker val="1"/>
        <c:smooth val="0"/>
        <c:axId val="180130175"/>
        <c:axId val="180130655"/>
      </c:lineChart>
      <c:catAx>
        <c:axId val="180130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Georgia" panose="02040502050405020303" pitchFamily="18" charset="0"/>
                    <a:ea typeface="+mn-ea"/>
                    <a:cs typeface="+mn-cs"/>
                  </a:defRPr>
                </a:pPr>
                <a:r>
                  <a:rPr lang="en-US"/>
                  <a:t>Fiscal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80130655"/>
        <c:crosses val="autoZero"/>
        <c:auto val="1"/>
        <c:lblAlgn val="ctr"/>
        <c:lblOffset val="100"/>
        <c:noMultiLvlLbl val="0"/>
      </c:catAx>
      <c:valAx>
        <c:axId val="180130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eorgia" panose="02040502050405020303" pitchFamily="18" charset="0"/>
                    <a:ea typeface="+mn-ea"/>
                    <a:cs typeface="+mn-cs"/>
                  </a:defRPr>
                </a:pPr>
                <a:r>
                  <a:rPr lang="en-US"/>
                  <a:t>Return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80130175"/>
        <c:crosses val="autoZero"/>
        <c:crossBetween val="between"/>
        <c:majorUnit val="0.01"/>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Georgia" panose="02040502050405020303" pitchFamily="18" charset="0"/>
                <a:ea typeface="+mn-ea"/>
                <a:cs typeface="+mn-cs"/>
              </a:defRPr>
            </a:pPr>
            <a:r>
              <a:rPr lang="en-US"/>
              <a:t>BNP Paribas — CET1 Ratio (%) FY 2022–2024</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Georgia" panose="02040502050405020303" pitchFamily="18" charset="0"/>
              <a:ea typeface="+mn-ea"/>
              <a:cs typeface="+mn-cs"/>
            </a:defRPr>
          </a:pPr>
          <a:endParaRPr lang="en-US"/>
        </a:p>
      </c:txPr>
    </c:title>
    <c:autoTitleDeleted val="0"/>
    <c:plotArea>
      <c:layout/>
      <c:barChart>
        <c:barDir val="col"/>
        <c:grouping val="clustered"/>
        <c:varyColors val="0"/>
        <c:ser>
          <c:idx val="0"/>
          <c:order val="0"/>
          <c:tx>
            <c:v>CET1 Ratio</c:v>
          </c:tx>
          <c:spPr>
            <a:solidFill>
              <a:schemeClr val="accent1"/>
            </a:solidFill>
            <a:ln>
              <a:noFill/>
            </a:ln>
            <a:effectLst/>
          </c:spPr>
          <c:invertIfNegative val="0"/>
          <c:cat>
            <c:strRef>
              <c:f>🔗CHART_SOURCE!$B$16:$D$16</c:f>
              <c:strCache>
                <c:ptCount val="3"/>
                <c:pt idx="0">
                  <c:v>FY 2022</c:v>
                </c:pt>
                <c:pt idx="1">
                  <c:v>FY 2023</c:v>
                </c:pt>
                <c:pt idx="2">
                  <c:v>FY 2024</c:v>
                </c:pt>
              </c:strCache>
            </c:strRef>
          </c:cat>
          <c:val>
            <c:numRef>
              <c:f>🔗CHART_SOURCE!$B$17:$D$17</c:f>
              <c:numCache>
                <c:formatCode>0.00%</c:formatCode>
                <c:ptCount val="3"/>
                <c:pt idx="0">
                  <c:v>0.12330000000000001</c:v>
                </c:pt>
                <c:pt idx="1">
                  <c:v>0.13200000000000001</c:v>
                </c:pt>
                <c:pt idx="2">
                  <c:v>0.12870000000000001</c:v>
                </c:pt>
              </c:numCache>
            </c:numRef>
          </c:val>
          <c:extLst>
            <c:ext xmlns:c16="http://schemas.microsoft.com/office/drawing/2014/chart" uri="{C3380CC4-5D6E-409C-BE32-E72D297353CC}">
              <c16:uniqueId val="{00000000-916C-4781-8D4E-69164EBC8CDE}"/>
            </c:ext>
          </c:extLst>
        </c:ser>
        <c:dLbls>
          <c:showLegendKey val="0"/>
          <c:showVal val="0"/>
          <c:showCatName val="0"/>
          <c:showSerName val="0"/>
          <c:showPercent val="0"/>
          <c:showBubbleSize val="0"/>
        </c:dLbls>
        <c:gapWidth val="150"/>
        <c:axId val="1745833456"/>
        <c:axId val="1700485952"/>
      </c:barChart>
      <c:catAx>
        <c:axId val="1745833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Georgia" panose="02040502050405020303" pitchFamily="18" charset="0"/>
                    <a:ea typeface="+mn-ea"/>
                    <a:cs typeface="+mn-cs"/>
                  </a:defRPr>
                </a:pPr>
                <a:r>
                  <a:rPr lang="en-US"/>
                  <a:t>Fiscal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700485952"/>
        <c:crosses val="autoZero"/>
        <c:auto val="1"/>
        <c:lblAlgn val="ctr"/>
        <c:lblOffset val="100"/>
        <c:noMultiLvlLbl val="0"/>
      </c:catAx>
      <c:valAx>
        <c:axId val="170048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eorgia" panose="02040502050405020303" pitchFamily="18" charset="0"/>
                    <a:ea typeface="+mn-ea"/>
                    <a:cs typeface="+mn-cs"/>
                  </a:defRPr>
                </a:pPr>
                <a:r>
                  <a:rPr lang="en-US"/>
                  <a:t>CET1 ratio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745833456"/>
        <c:crosses val="autoZero"/>
        <c:crossBetween val="between"/>
        <c:majorUnit val="0.01"/>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Georgia" panose="02040502050405020303" pitchFamily="18" charset="0"/>
                <a:ea typeface="+mn-ea"/>
                <a:cs typeface="+mn-cs"/>
              </a:defRPr>
            </a:pPr>
            <a:r>
              <a:rPr lang="en-US"/>
              <a:t>BNP Paribas — Cost-to-Income Ratio vs 66% Comparison, FY 2022 Restated–FY 2024</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Georgia" panose="02040502050405020303" pitchFamily="18" charset="0"/>
              <a:ea typeface="+mn-ea"/>
              <a:cs typeface="+mn-cs"/>
            </a:defRPr>
          </a:pPr>
          <a:endParaRPr lang="en-US"/>
        </a:p>
      </c:txPr>
    </c:title>
    <c:autoTitleDeleted val="0"/>
    <c:plotArea>
      <c:layout/>
      <c:lineChart>
        <c:grouping val="standard"/>
        <c:varyColors val="0"/>
        <c:ser>
          <c:idx val="0"/>
          <c:order val="0"/>
          <c:tx>
            <c:v>Cost-to-Income Ratio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🔗CHART_SOURCE!$B$27:$D$27</c:f>
              <c:strCache>
                <c:ptCount val="3"/>
                <c:pt idx="0">
                  <c:v>FY 2022 Restated</c:v>
                </c:pt>
                <c:pt idx="1">
                  <c:v>FY 2023</c:v>
                </c:pt>
                <c:pt idx="2">
                  <c:v>FY 2024</c:v>
                </c:pt>
              </c:strCache>
            </c:strRef>
          </c:cat>
          <c:val>
            <c:numRef>
              <c:f>🔗CHART_SOURCE!$B$28:$D$28</c:f>
              <c:numCache>
                <c:formatCode>0.00%</c:formatCode>
                <c:ptCount val="3"/>
                <c:pt idx="0">
                  <c:v>0.65736297600704385</c:v>
                </c:pt>
                <c:pt idx="1">
                  <c:v>0.67480490037929985</c:v>
                </c:pt>
                <c:pt idx="2">
                  <c:v>0.61831623354016918</c:v>
                </c:pt>
              </c:numCache>
            </c:numRef>
          </c:val>
          <c:smooth val="0"/>
          <c:extLst>
            <c:ext xmlns:c16="http://schemas.microsoft.com/office/drawing/2014/chart" uri="{C3380CC4-5D6E-409C-BE32-E72D297353CC}">
              <c16:uniqueId val="{00000000-D964-4D38-9C5E-1DDB95573930}"/>
            </c:ext>
          </c:extLst>
        </c:ser>
        <c:ser>
          <c:idx val="1"/>
          <c:order val="1"/>
          <c:tx>
            <c:v>Analytical Comparison (66%)</c:v>
          </c:tx>
          <c:spPr>
            <a:ln w="28575" cap="rnd">
              <a:solidFill>
                <a:schemeClr val="accent2"/>
              </a:solidFill>
              <a:round/>
            </a:ln>
            <a:effectLst/>
          </c:spPr>
          <c:marker>
            <c:symbol val="none"/>
          </c:marker>
          <c:cat>
            <c:strRef>
              <c:f>🔗CHART_SOURCE!$B$27:$D$27</c:f>
              <c:strCache>
                <c:ptCount val="3"/>
                <c:pt idx="0">
                  <c:v>FY 2022 Restated</c:v>
                </c:pt>
                <c:pt idx="1">
                  <c:v>FY 2023</c:v>
                </c:pt>
                <c:pt idx="2">
                  <c:v>FY 2024</c:v>
                </c:pt>
              </c:strCache>
            </c:strRef>
          </c:cat>
          <c:val>
            <c:numRef>
              <c:f>🔗CHART_SOURCE!$B$29:$D$29</c:f>
              <c:numCache>
                <c:formatCode>0.00%</c:formatCode>
                <c:ptCount val="3"/>
                <c:pt idx="0">
                  <c:v>0.66</c:v>
                </c:pt>
                <c:pt idx="1">
                  <c:v>0.66</c:v>
                </c:pt>
                <c:pt idx="2">
                  <c:v>0.66</c:v>
                </c:pt>
              </c:numCache>
            </c:numRef>
          </c:val>
          <c:smooth val="0"/>
          <c:extLst>
            <c:ext xmlns:c16="http://schemas.microsoft.com/office/drawing/2014/chart" uri="{C3380CC4-5D6E-409C-BE32-E72D297353CC}">
              <c16:uniqueId val="{00000001-D964-4D38-9C5E-1DDB95573930}"/>
            </c:ext>
          </c:extLst>
        </c:ser>
        <c:dLbls>
          <c:showLegendKey val="0"/>
          <c:showVal val="0"/>
          <c:showCatName val="0"/>
          <c:showSerName val="0"/>
          <c:showPercent val="0"/>
          <c:showBubbleSize val="0"/>
        </c:dLbls>
        <c:marker val="1"/>
        <c:smooth val="0"/>
        <c:axId val="1208845552"/>
        <c:axId val="1918659328"/>
      </c:lineChart>
      <c:catAx>
        <c:axId val="1208845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Georgia" panose="02040502050405020303" pitchFamily="18" charset="0"/>
                    <a:ea typeface="+mn-ea"/>
                    <a:cs typeface="+mn-cs"/>
                  </a:defRPr>
                </a:pPr>
                <a:r>
                  <a:rPr lang="en-US"/>
                  <a:t>Fiscal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918659328"/>
        <c:crosses val="autoZero"/>
        <c:auto val="1"/>
        <c:lblAlgn val="ctr"/>
        <c:lblOffset val="100"/>
        <c:noMultiLvlLbl val="0"/>
      </c:catAx>
      <c:valAx>
        <c:axId val="1918659328"/>
        <c:scaling>
          <c:orientation val="minMax"/>
        </c:scaling>
        <c:delete val="0"/>
        <c:axPos val="l"/>
        <c:majorGridlines>
          <c:spPr>
            <a:ln w="12700" cap="flat" cmpd="sng" algn="ctr">
              <a:solidFill>
                <a:srgbClr val="D9D9D9"/>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eorgia" panose="02040502050405020303" pitchFamily="18" charset="0"/>
                    <a:ea typeface="+mn-ea"/>
                    <a:cs typeface="+mn-cs"/>
                  </a:defRPr>
                </a:pPr>
                <a:r>
                  <a:rPr lang="en-US"/>
                  <a:t>Cost-to-income ratio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1208845552"/>
        <c:crosses val="autoZero"/>
        <c:crossBetween val="between"/>
        <c:majorUnit val="0.05"/>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legend>
    <c:plotVisOnly val="0"/>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latin typeface="Georgia" panose="02040502050405020303"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BNP Paribas — NPL Ratio vs ECB Q2 2024 Reference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NPL Ratio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🔗CHART_SOURCE!$B$21:$D$21</c:f>
              <c:strCache>
                <c:ptCount val="3"/>
                <c:pt idx="0">
                  <c:v>FY 2022 Restated</c:v>
                </c:pt>
                <c:pt idx="1">
                  <c:v>FY 2023</c:v>
                </c:pt>
                <c:pt idx="2">
                  <c:v>FY 2024</c:v>
                </c:pt>
              </c:strCache>
            </c:strRef>
          </c:cat>
          <c:val>
            <c:numRef>
              <c:f>🔗CHART_SOURCE!$B$22:$D$22</c:f>
              <c:numCache>
                <c:formatCode>0.0%</c:formatCode>
                <c:ptCount val="3"/>
                <c:pt idx="0">
                  <c:v>1.7000000000000001E-2</c:v>
                </c:pt>
                <c:pt idx="1">
                  <c:v>1.7000000000000001E-2</c:v>
                </c:pt>
                <c:pt idx="2">
                  <c:v>1.6E-2</c:v>
                </c:pt>
              </c:numCache>
            </c:numRef>
          </c:val>
          <c:smooth val="0"/>
          <c:extLst>
            <c:ext xmlns:c16="http://schemas.microsoft.com/office/drawing/2014/chart" uri="{C3380CC4-5D6E-409C-BE32-E72D297353CC}">
              <c16:uniqueId val="{00000000-301B-4B9B-A6D5-F79293DAA621}"/>
            </c:ext>
          </c:extLst>
        </c:ser>
        <c:ser>
          <c:idx val="1"/>
          <c:order val="1"/>
          <c:tx>
            <c:v>ECB Q2 2024 Reference (2.30%)</c:v>
          </c:tx>
          <c:spPr>
            <a:ln w="28575" cap="rnd">
              <a:solidFill>
                <a:schemeClr val="accent2"/>
              </a:solidFill>
              <a:round/>
            </a:ln>
            <a:effectLst/>
          </c:spPr>
          <c:marker>
            <c:symbol val="none"/>
          </c:marker>
          <c:cat>
            <c:strRef>
              <c:f>🔗CHART_SOURCE!$B$21:$D$21</c:f>
              <c:strCache>
                <c:ptCount val="3"/>
                <c:pt idx="0">
                  <c:v>FY 2022 Restated</c:v>
                </c:pt>
                <c:pt idx="1">
                  <c:v>FY 2023</c:v>
                </c:pt>
                <c:pt idx="2">
                  <c:v>FY 2024</c:v>
                </c:pt>
              </c:strCache>
            </c:strRef>
          </c:cat>
          <c:val>
            <c:numRef>
              <c:f>🔗CHART_SOURCE!$B$25:$D$25</c:f>
              <c:numCache>
                <c:formatCode>0.0%</c:formatCode>
                <c:ptCount val="3"/>
                <c:pt idx="0">
                  <c:v>2.3E-2</c:v>
                </c:pt>
                <c:pt idx="1">
                  <c:v>2.3E-2</c:v>
                </c:pt>
                <c:pt idx="2">
                  <c:v>2.3E-2</c:v>
                </c:pt>
              </c:numCache>
            </c:numRef>
          </c:val>
          <c:smooth val="0"/>
          <c:extLst>
            <c:ext xmlns:c16="http://schemas.microsoft.com/office/drawing/2014/chart" uri="{C3380CC4-5D6E-409C-BE32-E72D297353CC}">
              <c16:uniqueId val="{00000001-301B-4B9B-A6D5-F79293DAA621}"/>
            </c:ext>
          </c:extLst>
        </c:ser>
        <c:dLbls>
          <c:showLegendKey val="0"/>
          <c:showVal val="0"/>
          <c:showCatName val="0"/>
          <c:showSerName val="0"/>
          <c:showPercent val="0"/>
          <c:showBubbleSize val="0"/>
        </c:dLbls>
        <c:marker val="1"/>
        <c:smooth val="0"/>
        <c:axId val="1947804624"/>
        <c:axId val="1637967167"/>
      </c:lineChart>
      <c:catAx>
        <c:axId val="194780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967167"/>
        <c:crosses val="autoZero"/>
        <c:auto val="1"/>
        <c:lblAlgn val="ctr"/>
        <c:lblOffset val="100"/>
        <c:noMultiLvlLbl val="0"/>
      </c:catAx>
      <c:valAx>
        <c:axId val="1637967167"/>
        <c:scaling>
          <c:orientation val="minMax"/>
          <c:max val="0.03"/>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NPL 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04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BNP Paribas — Cost of Risk (bps), FY 2022 Restated–FY 2024</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Cost of Risk (bps)</c:v>
          </c:tx>
          <c:spPr>
            <a:solidFill>
              <a:schemeClr val="accent1"/>
            </a:solidFill>
            <a:ln>
              <a:noFill/>
            </a:ln>
            <a:effectLst/>
          </c:spPr>
          <c:invertIfNegative val="0"/>
          <c:cat>
            <c:strRef>
              <c:f>🔗CHART_SOURCE!$B$21:$D$21</c:f>
              <c:strCache>
                <c:ptCount val="3"/>
                <c:pt idx="0">
                  <c:v>FY 2022 Restated</c:v>
                </c:pt>
                <c:pt idx="1">
                  <c:v>FY 2023</c:v>
                </c:pt>
                <c:pt idx="2">
                  <c:v>FY 2024</c:v>
                </c:pt>
              </c:strCache>
            </c:strRef>
          </c:cat>
          <c:val>
            <c:numRef>
              <c:f>🔗CHART_SOURCE!$B$23:$D$23</c:f>
              <c:numCache>
                <c:formatCode>0</c:formatCode>
                <c:ptCount val="3"/>
                <c:pt idx="0">
                  <c:v>31</c:v>
                </c:pt>
                <c:pt idx="1">
                  <c:v>32</c:v>
                </c:pt>
                <c:pt idx="2">
                  <c:v>33</c:v>
                </c:pt>
              </c:numCache>
            </c:numRef>
          </c:val>
          <c:extLst>
            <c:ext xmlns:c16="http://schemas.microsoft.com/office/drawing/2014/chart" uri="{C3380CC4-5D6E-409C-BE32-E72D297353CC}">
              <c16:uniqueId val="{00000000-ED11-431C-B8F0-1F15BBA38971}"/>
            </c:ext>
          </c:extLst>
        </c:ser>
        <c:dLbls>
          <c:showLegendKey val="0"/>
          <c:showVal val="0"/>
          <c:showCatName val="0"/>
          <c:showSerName val="0"/>
          <c:showPercent val="0"/>
          <c:showBubbleSize val="0"/>
        </c:dLbls>
        <c:gapWidth val="219"/>
        <c:overlap val="-27"/>
        <c:axId val="1955765616"/>
        <c:axId val="1590393855"/>
      </c:barChart>
      <c:catAx>
        <c:axId val="195576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393855"/>
        <c:crosses val="autoZero"/>
        <c:auto val="1"/>
        <c:lblAlgn val="ctr"/>
        <c:lblOffset val="100"/>
        <c:noMultiLvlLbl val="0"/>
      </c:catAx>
      <c:valAx>
        <c:axId val="1590393855"/>
        <c:scaling>
          <c:orientation val="minMax"/>
          <c:max val="4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Basis points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76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BNP Paribas — Net Income Waterfall Bridge FY 2022 Restated → FY 2024 (€M)</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🔗CHART_SOURCE!$K$33</c:f>
              <c:strCache>
                <c:ptCount val="1"/>
                <c:pt idx="0">
                  <c:v>Base</c:v>
                </c:pt>
              </c:strCache>
            </c:strRef>
          </c:tx>
          <c:spPr>
            <a:noFill/>
            <a:ln w="25400">
              <a:noFill/>
            </a:ln>
            <a:effectLst/>
          </c:spPr>
          <c:invertIfNegative val="0"/>
          <c:cat>
            <c:strRef>
              <c:f>🔗CHART_SOURCE!$G$34:$G$58</c:f>
              <c:strCache>
                <c:ptCount val="25"/>
                <c:pt idx="0">
                  <c:v>Opening net income FY2022 (restated)</c:v>
                </c:pt>
                <c:pt idx="1">
                  <c:v>Net Interest Income</c:v>
                </c:pt>
                <c:pt idx="2">
                  <c:v>Fee &amp; Commission Income</c:v>
                </c:pt>
                <c:pt idx="3">
                  <c:v>Trading Income</c:v>
                </c:pt>
                <c:pt idx="4">
                  <c:v>Other operating activities</c:v>
                </c:pt>
                <c:pt idx="5">
                  <c:v>Unallocated NBI components</c:v>
                </c:pt>
                <c:pt idx="6">
                  <c:v>Operating expenses effect</c:v>
                </c:pt>
                <c:pt idx="7">
                  <c:v>Cost of Risk effect</c:v>
                </c:pt>
                <c:pt idx="8">
                  <c:v>Other net losses for risk on financial instruments effect</c:v>
                </c:pt>
                <c:pt idx="9">
                  <c:v>Non-operating items</c:v>
                </c:pt>
                <c:pt idx="10">
                  <c:v>Tax effect</c:v>
                </c:pt>
                <c:pt idx="11">
                  <c:v>Discontinued operations &amp; minority interests</c:v>
                </c:pt>
                <c:pt idx="12">
                  <c:v>Closing net income FY2023</c:v>
                </c:pt>
                <c:pt idx="13">
                  <c:v>Net Interest Income</c:v>
                </c:pt>
                <c:pt idx="14">
                  <c:v>Fee &amp; Commission Income</c:v>
                </c:pt>
                <c:pt idx="15">
                  <c:v>Trading Income</c:v>
                </c:pt>
                <c:pt idx="16">
                  <c:v>Other operating activities</c:v>
                </c:pt>
                <c:pt idx="17">
                  <c:v>Unallocated NBI components</c:v>
                </c:pt>
                <c:pt idx="18">
                  <c:v>Operating expenses effect</c:v>
                </c:pt>
                <c:pt idx="19">
                  <c:v>Cost of Risk effect</c:v>
                </c:pt>
                <c:pt idx="20">
                  <c:v>Other net losses for risk on financial instruments effect</c:v>
                </c:pt>
                <c:pt idx="21">
                  <c:v>Non-operating items</c:v>
                </c:pt>
                <c:pt idx="22">
                  <c:v>Tax effect</c:v>
                </c:pt>
                <c:pt idx="23">
                  <c:v>Discontinued operations &amp; minority interests</c:v>
                </c:pt>
                <c:pt idx="24">
                  <c:v>Closing net income FY2024</c:v>
                </c:pt>
              </c:strCache>
            </c:strRef>
          </c:cat>
          <c:val>
            <c:numRef>
              <c:f>🔗CHART_SOURCE!$K$34:$K$58</c:f>
              <c:numCache>
                <c:formatCode>#,##0;[Red]\(#,##0\)</c:formatCode>
                <c:ptCount val="25"/>
                <c:pt idx="0">
                  <c:v>0</c:v>
                </c:pt>
                <c:pt idx="1">
                  <c:v>7973</c:v>
                </c:pt>
                <c:pt idx="2">
                  <c:v>7629</c:v>
                </c:pt>
                <c:pt idx="3">
                  <c:v>7629</c:v>
                </c:pt>
                <c:pt idx="4">
                  <c:v>8623</c:v>
                </c:pt>
                <c:pt idx="5">
                  <c:v>9876</c:v>
                </c:pt>
                <c:pt idx="6">
                  <c:v>9200</c:v>
                </c:pt>
                <c:pt idx="7">
                  <c:v>9200</c:v>
                </c:pt>
                <c:pt idx="8">
                  <c:v>8521</c:v>
                </c:pt>
                <c:pt idx="9">
                  <c:v>8359</c:v>
                </c:pt>
                <c:pt idx="10">
                  <c:v>8359</c:v>
                </c:pt>
                <c:pt idx="11">
                  <c:v>8746</c:v>
                </c:pt>
                <c:pt idx="12">
                  <c:v>0</c:v>
                </c:pt>
                <c:pt idx="13">
                  <c:v>10975</c:v>
                </c:pt>
                <c:pt idx="14">
                  <c:v>11441</c:v>
                </c:pt>
                <c:pt idx="15">
                  <c:v>12321</c:v>
                </c:pt>
                <c:pt idx="16">
                  <c:v>13544</c:v>
                </c:pt>
                <c:pt idx="17">
                  <c:v>13686</c:v>
                </c:pt>
                <c:pt idx="18">
                  <c:v>13932</c:v>
                </c:pt>
                <c:pt idx="19">
                  <c:v>14603</c:v>
                </c:pt>
                <c:pt idx="20">
                  <c:v>14603</c:v>
                </c:pt>
                <c:pt idx="21">
                  <c:v>15176</c:v>
                </c:pt>
                <c:pt idx="22">
                  <c:v>14703</c:v>
                </c:pt>
                <c:pt idx="23">
                  <c:v>11688</c:v>
                </c:pt>
                <c:pt idx="24">
                  <c:v>0</c:v>
                </c:pt>
              </c:numCache>
            </c:numRef>
          </c:val>
          <c:extLst>
            <c:ext xmlns:c16="http://schemas.microsoft.com/office/drawing/2014/chart" uri="{C3380CC4-5D6E-409C-BE32-E72D297353CC}">
              <c16:uniqueId val="{00000000-7816-46C5-968D-5AC83E8C5014}"/>
            </c:ext>
          </c:extLst>
        </c:ser>
        <c:ser>
          <c:idx val="1"/>
          <c:order val="1"/>
          <c:tx>
            <c:strRef>
              <c:f>🔗CHART_SOURCE!$L$33</c:f>
              <c:strCache>
                <c:ptCount val="1"/>
                <c:pt idx="0">
                  <c:v>Increase</c:v>
                </c:pt>
              </c:strCache>
            </c:strRef>
          </c:tx>
          <c:spPr>
            <a:solidFill>
              <a:srgbClr val="70AD47"/>
            </a:solidFill>
            <a:ln>
              <a:noFill/>
            </a:ln>
            <a:effectLst/>
          </c:spPr>
          <c:invertIfNegative val="0"/>
          <c:cat>
            <c:strRef>
              <c:f>🔗CHART_SOURCE!$G$34:$G$58</c:f>
              <c:strCache>
                <c:ptCount val="25"/>
                <c:pt idx="0">
                  <c:v>Opening net income FY2022 (restated)</c:v>
                </c:pt>
                <c:pt idx="1">
                  <c:v>Net Interest Income</c:v>
                </c:pt>
                <c:pt idx="2">
                  <c:v>Fee &amp; Commission Income</c:v>
                </c:pt>
                <c:pt idx="3">
                  <c:v>Trading Income</c:v>
                </c:pt>
                <c:pt idx="4">
                  <c:v>Other operating activities</c:v>
                </c:pt>
                <c:pt idx="5">
                  <c:v>Unallocated NBI components</c:v>
                </c:pt>
                <c:pt idx="6">
                  <c:v>Operating expenses effect</c:v>
                </c:pt>
                <c:pt idx="7">
                  <c:v>Cost of Risk effect</c:v>
                </c:pt>
                <c:pt idx="8">
                  <c:v>Other net losses for risk on financial instruments effect</c:v>
                </c:pt>
                <c:pt idx="9">
                  <c:v>Non-operating items</c:v>
                </c:pt>
                <c:pt idx="10">
                  <c:v>Tax effect</c:v>
                </c:pt>
                <c:pt idx="11">
                  <c:v>Discontinued operations &amp; minority interests</c:v>
                </c:pt>
                <c:pt idx="12">
                  <c:v>Closing net income FY2023</c:v>
                </c:pt>
                <c:pt idx="13">
                  <c:v>Net Interest Income</c:v>
                </c:pt>
                <c:pt idx="14">
                  <c:v>Fee &amp; Commission Income</c:v>
                </c:pt>
                <c:pt idx="15">
                  <c:v>Trading Income</c:v>
                </c:pt>
                <c:pt idx="16">
                  <c:v>Other operating activities</c:v>
                </c:pt>
                <c:pt idx="17">
                  <c:v>Unallocated NBI components</c:v>
                </c:pt>
                <c:pt idx="18">
                  <c:v>Operating expenses effect</c:v>
                </c:pt>
                <c:pt idx="19">
                  <c:v>Cost of Risk effect</c:v>
                </c:pt>
                <c:pt idx="20">
                  <c:v>Other net losses for risk on financial instruments effect</c:v>
                </c:pt>
                <c:pt idx="21">
                  <c:v>Non-operating items</c:v>
                </c:pt>
                <c:pt idx="22">
                  <c:v>Tax effect</c:v>
                </c:pt>
                <c:pt idx="23">
                  <c:v>Discontinued operations &amp; minority interests</c:v>
                </c:pt>
                <c:pt idx="24">
                  <c:v>Closing net income FY2024</c:v>
                </c:pt>
              </c:strCache>
            </c:strRef>
          </c:cat>
          <c:val>
            <c:numRef>
              <c:f>🔗CHART_SOURCE!$L$34:$L$58</c:f>
              <c:numCache>
                <c:formatCode>General</c:formatCode>
                <c:ptCount val="25"/>
                <c:pt idx="0">
                  <c:v>0</c:v>
                </c:pt>
                <c:pt idx="1">
                  <c:v>0</c:v>
                </c:pt>
                <c:pt idx="2">
                  <c:v>0</c:v>
                </c:pt>
                <c:pt idx="3">
                  <c:v>994</c:v>
                </c:pt>
                <c:pt idx="4" formatCode="#,##0;[Red]\(#,##0\)">
                  <c:v>1253</c:v>
                </c:pt>
                <c:pt idx="5">
                  <c:v>416</c:v>
                </c:pt>
                <c:pt idx="6">
                  <c:v>0</c:v>
                </c:pt>
                <c:pt idx="7">
                  <c:v>96</c:v>
                </c:pt>
                <c:pt idx="8">
                  <c:v>0</c:v>
                </c:pt>
                <c:pt idx="9">
                  <c:v>0</c:v>
                </c:pt>
                <c:pt idx="10">
                  <c:v>387</c:v>
                </c:pt>
                <c:pt idx="11" formatCode="#,##0;[Red]\(#,##0\)">
                  <c:v>2229</c:v>
                </c:pt>
                <c:pt idx="12">
                  <c:v>0</c:v>
                </c:pt>
                <c:pt idx="13" formatCode="#,##0;[Red]\(#,##0\)">
                  <c:v>466</c:v>
                </c:pt>
                <c:pt idx="14" formatCode="#,##0;[Red]\(#,##0\)">
                  <c:v>880</c:v>
                </c:pt>
                <c:pt idx="15" formatCode="#,##0;[Red]\(#,##0\)">
                  <c:v>1223</c:v>
                </c:pt>
                <c:pt idx="16" formatCode="#,##0;[Red]\(#,##0\)">
                  <c:v>142</c:v>
                </c:pt>
                <c:pt idx="17" formatCode="#,##0;[Red]\(#,##0\)">
                  <c:v>246</c:v>
                </c:pt>
                <c:pt idx="18" formatCode="#,##0;[Red]\(#,##0\)">
                  <c:v>763</c:v>
                </c:pt>
                <c:pt idx="19" formatCode="#,##0;[Red]\(#,##0\)">
                  <c:v>0</c:v>
                </c:pt>
                <c:pt idx="20" formatCode="#,##0;[Red]\(#,##0\)">
                  <c:v>573</c:v>
                </c:pt>
                <c:pt idx="21" formatCode="#,##0;[Red]\(#,##0\)">
                  <c:v>262</c:v>
                </c:pt>
                <c:pt idx="22">
                  <c:v>0</c:v>
                </c:pt>
                <c:pt idx="23">
                  <c:v>0</c:v>
                </c:pt>
                <c:pt idx="24">
                  <c:v>0</c:v>
                </c:pt>
              </c:numCache>
            </c:numRef>
          </c:val>
          <c:extLst>
            <c:ext xmlns:c16="http://schemas.microsoft.com/office/drawing/2014/chart" uri="{C3380CC4-5D6E-409C-BE32-E72D297353CC}">
              <c16:uniqueId val="{00000001-7816-46C5-968D-5AC83E8C5014}"/>
            </c:ext>
          </c:extLst>
        </c:ser>
        <c:ser>
          <c:idx val="2"/>
          <c:order val="2"/>
          <c:tx>
            <c:strRef>
              <c:f>🔗CHART_SOURCE!$M$33</c:f>
              <c:strCache>
                <c:ptCount val="1"/>
                <c:pt idx="0">
                  <c:v>Decrease</c:v>
                </c:pt>
              </c:strCache>
            </c:strRef>
          </c:tx>
          <c:spPr>
            <a:solidFill>
              <a:srgbClr val="C00000"/>
            </a:solidFill>
            <a:ln>
              <a:noFill/>
            </a:ln>
            <a:effectLst/>
          </c:spPr>
          <c:invertIfNegative val="0"/>
          <c:cat>
            <c:strRef>
              <c:f>🔗CHART_SOURCE!$G$34:$G$58</c:f>
              <c:strCache>
                <c:ptCount val="25"/>
                <c:pt idx="0">
                  <c:v>Opening net income FY2022 (restated)</c:v>
                </c:pt>
                <c:pt idx="1">
                  <c:v>Net Interest Income</c:v>
                </c:pt>
                <c:pt idx="2">
                  <c:v>Fee &amp; Commission Income</c:v>
                </c:pt>
                <c:pt idx="3">
                  <c:v>Trading Income</c:v>
                </c:pt>
                <c:pt idx="4">
                  <c:v>Other operating activities</c:v>
                </c:pt>
                <c:pt idx="5">
                  <c:v>Unallocated NBI components</c:v>
                </c:pt>
                <c:pt idx="6">
                  <c:v>Operating expenses effect</c:v>
                </c:pt>
                <c:pt idx="7">
                  <c:v>Cost of Risk effect</c:v>
                </c:pt>
                <c:pt idx="8">
                  <c:v>Other net losses for risk on financial instruments effect</c:v>
                </c:pt>
                <c:pt idx="9">
                  <c:v>Non-operating items</c:v>
                </c:pt>
                <c:pt idx="10">
                  <c:v>Tax effect</c:v>
                </c:pt>
                <c:pt idx="11">
                  <c:v>Discontinued operations &amp; minority interests</c:v>
                </c:pt>
                <c:pt idx="12">
                  <c:v>Closing net income FY2023</c:v>
                </c:pt>
                <c:pt idx="13">
                  <c:v>Net Interest Income</c:v>
                </c:pt>
                <c:pt idx="14">
                  <c:v>Fee &amp; Commission Income</c:v>
                </c:pt>
                <c:pt idx="15">
                  <c:v>Trading Income</c:v>
                </c:pt>
                <c:pt idx="16">
                  <c:v>Other operating activities</c:v>
                </c:pt>
                <c:pt idx="17">
                  <c:v>Unallocated NBI components</c:v>
                </c:pt>
                <c:pt idx="18">
                  <c:v>Operating expenses effect</c:v>
                </c:pt>
                <c:pt idx="19">
                  <c:v>Cost of Risk effect</c:v>
                </c:pt>
                <c:pt idx="20">
                  <c:v>Other net losses for risk on financial instruments effect</c:v>
                </c:pt>
                <c:pt idx="21">
                  <c:v>Non-operating items</c:v>
                </c:pt>
                <c:pt idx="22">
                  <c:v>Tax effect</c:v>
                </c:pt>
                <c:pt idx="23">
                  <c:v>Discontinued operations &amp; minority interests</c:v>
                </c:pt>
                <c:pt idx="24">
                  <c:v>Closing net income FY2024</c:v>
                </c:pt>
              </c:strCache>
            </c:strRef>
          </c:cat>
          <c:val>
            <c:numRef>
              <c:f>🔗CHART_SOURCE!$M$34:$M$58</c:f>
              <c:numCache>
                <c:formatCode>#,##0;[Red]\(#,##0\)</c:formatCode>
                <c:ptCount val="25"/>
                <c:pt idx="0">
                  <c:v>0</c:v>
                </c:pt>
                <c:pt idx="1">
                  <c:v>1875</c:v>
                </c:pt>
                <c:pt idx="2">
                  <c:v>344</c:v>
                </c:pt>
                <c:pt idx="3">
                  <c:v>0</c:v>
                </c:pt>
                <c:pt idx="4">
                  <c:v>0</c:v>
                </c:pt>
                <c:pt idx="5">
                  <c:v>0</c:v>
                </c:pt>
                <c:pt idx="6">
                  <c:v>1092</c:v>
                </c:pt>
                <c:pt idx="7">
                  <c:v>0</c:v>
                </c:pt>
                <c:pt idx="8">
                  <c:v>775</c:v>
                </c:pt>
                <c:pt idx="9">
                  <c:v>162</c:v>
                </c:pt>
                <c:pt idx="10">
                  <c:v>0</c:v>
                </c:pt>
                <c:pt idx="11">
                  <c:v>0</c:v>
                </c:pt>
                <c:pt idx="12">
                  <c:v>0</c:v>
                </c:pt>
                <c:pt idx="13">
                  <c:v>0</c:v>
                </c:pt>
                <c:pt idx="14">
                  <c:v>0</c:v>
                </c:pt>
                <c:pt idx="15">
                  <c:v>0</c:v>
                </c:pt>
                <c:pt idx="16">
                  <c:v>0</c:v>
                </c:pt>
                <c:pt idx="17">
                  <c:v>0</c:v>
                </c:pt>
                <c:pt idx="18">
                  <c:v>0</c:v>
                </c:pt>
                <c:pt idx="19">
                  <c:v>92</c:v>
                </c:pt>
                <c:pt idx="20">
                  <c:v>0</c:v>
                </c:pt>
                <c:pt idx="21">
                  <c:v>0</c:v>
                </c:pt>
                <c:pt idx="22">
                  <c:v>735</c:v>
                </c:pt>
                <c:pt idx="23">
                  <c:v>3015</c:v>
                </c:pt>
                <c:pt idx="24">
                  <c:v>0</c:v>
                </c:pt>
              </c:numCache>
            </c:numRef>
          </c:val>
          <c:extLst>
            <c:ext xmlns:c16="http://schemas.microsoft.com/office/drawing/2014/chart" uri="{C3380CC4-5D6E-409C-BE32-E72D297353CC}">
              <c16:uniqueId val="{00000002-7816-46C5-968D-5AC83E8C5014}"/>
            </c:ext>
          </c:extLst>
        </c:ser>
        <c:ser>
          <c:idx val="3"/>
          <c:order val="3"/>
          <c:tx>
            <c:strRef>
              <c:f>🔗CHART_SOURCE!$N$33</c:f>
              <c:strCache>
                <c:ptCount val="1"/>
                <c:pt idx="0">
                  <c:v>Total</c:v>
                </c:pt>
              </c:strCache>
            </c:strRef>
          </c:tx>
          <c:spPr>
            <a:solidFill>
              <a:srgbClr val="7F7F7F"/>
            </a:solidFill>
            <a:ln>
              <a:noFill/>
            </a:ln>
            <a:effectLst/>
          </c:spPr>
          <c:invertIfNegative val="0"/>
          <c:cat>
            <c:strRef>
              <c:f>🔗CHART_SOURCE!$G$34:$G$58</c:f>
              <c:strCache>
                <c:ptCount val="25"/>
                <c:pt idx="0">
                  <c:v>Opening net income FY2022 (restated)</c:v>
                </c:pt>
                <c:pt idx="1">
                  <c:v>Net Interest Income</c:v>
                </c:pt>
                <c:pt idx="2">
                  <c:v>Fee &amp; Commission Income</c:v>
                </c:pt>
                <c:pt idx="3">
                  <c:v>Trading Income</c:v>
                </c:pt>
                <c:pt idx="4">
                  <c:v>Other operating activities</c:v>
                </c:pt>
                <c:pt idx="5">
                  <c:v>Unallocated NBI components</c:v>
                </c:pt>
                <c:pt idx="6">
                  <c:v>Operating expenses effect</c:v>
                </c:pt>
                <c:pt idx="7">
                  <c:v>Cost of Risk effect</c:v>
                </c:pt>
                <c:pt idx="8">
                  <c:v>Other net losses for risk on financial instruments effect</c:v>
                </c:pt>
                <c:pt idx="9">
                  <c:v>Non-operating items</c:v>
                </c:pt>
                <c:pt idx="10">
                  <c:v>Tax effect</c:v>
                </c:pt>
                <c:pt idx="11">
                  <c:v>Discontinued operations &amp; minority interests</c:v>
                </c:pt>
                <c:pt idx="12">
                  <c:v>Closing net income FY2023</c:v>
                </c:pt>
                <c:pt idx="13">
                  <c:v>Net Interest Income</c:v>
                </c:pt>
                <c:pt idx="14">
                  <c:v>Fee &amp; Commission Income</c:v>
                </c:pt>
                <c:pt idx="15">
                  <c:v>Trading Income</c:v>
                </c:pt>
                <c:pt idx="16">
                  <c:v>Other operating activities</c:v>
                </c:pt>
                <c:pt idx="17">
                  <c:v>Unallocated NBI components</c:v>
                </c:pt>
                <c:pt idx="18">
                  <c:v>Operating expenses effect</c:v>
                </c:pt>
                <c:pt idx="19">
                  <c:v>Cost of Risk effect</c:v>
                </c:pt>
                <c:pt idx="20">
                  <c:v>Other net losses for risk on financial instruments effect</c:v>
                </c:pt>
                <c:pt idx="21">
                  <c:v>Non-operating items</c:v>
                </c:pt>
                <c:pt idx="22">
                  <c:v>Tax effect</c:v>
                </c:pt>
                <c:pt idx="23">
                  <c:v>Discontinued operations &amp; minority interests</c:v>
                </c:pt>
                <c:pt idx="24">
                  <c:v>Closing net income FY2024</c:v>
                </c:pt>
              </c:strCache>
            </c:strRef>
          </c:cat>
          <c:val>
            <c:numRef>
              <c:f>🔗CHART_SOURCE!$N$34:$N$58</c:f>
              <c:numCache>
                <c:formatCode>General</c:formatCode>
                <c:ptCount val="25"/>
                <c:pt idx="0" formatCode="#,##0;[Red]\(#,##0\)">
                  <c:v>9848</c:v>
                </c:pt>
                <c:pt idx="1">
                  <c:v>0</c:v>
                </c:pt>
                <c:pt idx="2">
                  <c:v>0</c:v>
                </c:pt>
                <c:pt idx="3">
                  <c:v>0</c:v>
                </c:pt>
                <c:pt idx="4">
                  <c:v>0</c:v>
                </c:pt>
                <c:pt idx="5">
                  <c:v>0</c:v>
                </c:pt>
                <c:pt idx="6">
                  <c:v>0</c:v>
                </c:pt>
                <c:pt idx="7">
                  <c:v>0</c:v>
                </c:pt>
                <c:pt idx="8">
                  <c:v>0</c:v>
                </c:pt>
                <c:pt idx="9">
                  <c:v>0</c:v>
                </c:pt>
                <c:pt idx="10">
                  <c:v>0</c:v>
                </c:pt>
                <c:pt idx="11">
                  <c:v>0</c:v>
                </c:pt>
                <c:pt idx="12" formatCode="#,##0;[Red]\(#,##0\)">
                  <c:v>10975</c:v>
                </c:pt>
                <c:pt idx="13">
                  <c:v>0</c:v>
                </c:pt>
                <c:pt idx="14">
                  <c:v>0</c:v>
                </c:pt>
                <c:pt idx="15">
                  <c:v>0</c:v>
                </c:pt>
                <c:pt idx="16">
                  <c:v>0</c:v>
                </c:pt>
                <c:pt idx="17">
                  <c:v>0</c:v>
                </c:pt>
                <c:pt idx="18">
                  <c:v>0</c:v>
                </c:pt>
                <c:pt idx="19">
                  <c:v>0</c:v>
                </c:pt>
                <c:pt idx="20">
                  <c:v>0</c:v>
                </c:pt>
                <c:pt idx="21">
                  <c:v>0</c:v>
                </c:pt>
                <c:pt idx="22">
                  <c:v>0</c:v>
                </c:pt>
                <c:pt idx="23">
                  <c:v>0</c:v>
                </c:pt>
                <c:pt idx="24" formatCode="#,##0;[Red]\(#,##0\)">
                  <c:v>11688</c:v>
                </c:pt>
              </c:numCache>
            </c:numRef>
          </c:val>
          <c:extLst>
            <c:ext xmlns:c16="http://schemas.microsoft.com/office/drawing/2014/chart" uri="{C3380CC4-5D6E-409C-BE32-E72D297353CC}">
              <c16:uniqueId val="{00000003-7816-46C5-968D-5AC83E8C5014}"/>
            </c:ext>
          </c:extLst>
        </c:ser>
        <c:dLbls>
          <c:showLegendKey val="0"/>
          <c:showVal val="0"/>
          <c:showCatName val="0"/>
          <c:showSerName val="0"/>
          <c:showPercent val="0"/>
          <c:showBubbleSize val="0"/>
        </c:dLbls>
        <c:gapWidth val="150"/>
        <c:overlap val="100"/>
        <c:axId val="1863336880"/>
        <c:axId val="1590455775"/>
      </c:barChart>
      <c:catAx>
        <c:axId val="186333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455775"/>
        <c:crosses val="autoZero"/>
        <c:auto val="1"/>
        <c:lblAlgn val="ctr"/>
        <c:lblOffset val="100"/>
        <c:noMultiLvlLbl val="0"/>
      </c:catAx>
      <c:valAx>
        <c:axId val="1590455775"/>
        <c:scaling>
          <c:orientation val="minMax"/>
        </c:scaling>
        <c:delete val="0"/>
        <c:axPos val="l"/>
        <c:majorGridlines>
          <c:spPr>
            <a:ln w="9525" cap="flat" cmpd="sng" algn="ctr">
              <a:solidFill>
                <a:schemeClr val="tx1">
                  <a:lumMod val="15000"/>
                  <a:lumOff val="85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336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11</xdr:col>
      <xdr:colOff>0</xdr:colOff>
      <xdr:row>5</xdr:row>
      <xdr:rowOff>0</xdr:rowOff>
    </xdr:to>
    <xdr:sp macro="" textlink="">
      <xdr:nvSpPr>
        <xdr:cNvPr id="2" name="Entity Clarification">
          <a:extLst>
            <a:ext uri="{FF2B5EF4-FFF2-40B4-BE49-F238E27FC236}">
              <a16:creationId xmlns:a16="http://schemas.microsoft.com/office/drawing/2014/main" id="{E3D0094B-CFA4-A63A-38ED-9A3CE991F7C5}"/>
            </a:ext>
          </a:extLst>
        </xdr:cNvPr>
        <xdr:cNvSpPr txBox="1"/>
      </xdr:nvSpPr>
      <xdr:spPr>
        <a:xfrm>
          <a:off x="0" y="1219200"/>
          <a:ext cx="8623300" cy="965200"/>
        </a:xfrm>
        <a:prstGeom prst="rect">
          <a:avLst/>
        </a:prstGeom>
        <a:solidFill>
          <a:srgbClr val="D9EAF7"/>
        </a:solidFill>
        <a:ln>
          <a:solidFill>
            <a:srgbClr val="5B9BD5"/>
          </a:solidFill>
        </a:ln>
      </xdr:spPr>
      <xdr:txBody>
        <a:bodyPr vertOverflow="overflow" vert="horz" wrap="square" rtlCol="0" anchor="t">
          <a:spAutoFit/>
        </a:bodyPr>
        <a:lstStyle/>
        <a:p>
          <a:pPr algn="l"/>
          <a:r>
            <a:rPr kumimoji="0" lang="en-US" sz="1000" b="0" i="0" u="none" strike="noStrike" kern="0" cap="none" spc="0" normalizeH="0" baseline="0" noProof="0">
              <a:ln>
                <a:noFill/>
              </a:ln>
              <a:solidFill>
                <a:srgbClr val="1F1F1F"/>
              </a:solidFill>
              <a:effectLst/>
              <a:uLnTx/>
              <a:uFillTx/>
              <a:latin typeface="Aptos Narrow" panose="02110004020202020204"/>
            </a:rPr>
            <a:t>ENTITY CLARIFICATION
This analysis covers BNP Paribas SA Group consolidated financial statements for FY2022–FY2024. The project was selected because BNP Paribas is a major banking group with significant Luxembourg operations through BGL BNP Paribas. The analysis does not represent a standalone review of BGL BNP Paribas SA.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0</xdr:rowOff>
    </xdr:from>
    <xdr:to>
      <xdr:col>6</xdr:col>
      <xdr:colOff>0</xdr:colOff>
      <xdr:row>28</xdr:row>
      <xdr:rowOff>0</xdr:rowOff>
    </xdr:to>
    <xdr:graphicFrame macro="">
      <xdr:nvGraphicFramePr>
        <xdr:cNvPr id="3" name="NBI vs Net Income FY22-24">
          <a:extLst>
            <a:ext uri="{FF2B5EF4-FFF2-40B4-BE49-F238E27FC236}">
              <a16:creationId xmlns:a16="http://schemas.microsoft.com/office/drawing/2014/main" id="{5F1EF02C-4399-F05F-93D8-EC6761621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11</xdr:row>
      <xdr:rowOff>0</xdr:rowOff>
    </xdr:from>
    <xdr:to>
      <xdr:col>13</xdr:col>
      <xdr:colOff>0</xdr:colOff>
      <xdr:row>28</xdr:row>
      <xdr:rowOff>0</xdr:rowOff>
    </xdr:to>
    <xdr:graphicFrame macro="">
      <xdr:nvGraphicFramePr>
        <xdr:cNvPr id="4" name="ROE and ROTE FY22-24">
          <a:extLst>
            <a:ext uri="{FF2B5EF4-FFF2-40B4-BE49-F238E27FC236}">
              <a16:creationId xmlns:a16="http://schemas.microsoft.com/office/drawing/2014/main" id="{F775319A-EB54-355F-72FD-287C60705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0</xdr:rowOff>
    </xdr:from>
    <xdr:to>
      <xdr:col>6</xdr:col>
      <xdr:colOff>0</xdr:colOff>
      <xdr:row>47</xdr:row>
      <xdr:rowOff>0</xdr:rowOff>
    </xdr:to>
    <xdr:graphicFrame macro="">
      <xdr:nvGraphicFramePr>
        <xdr:cNvPr id="2" name="CET1 Ratio FY22-24">
          <a:extLst>
            <a:ext uri="{FF2B5EF4-FFF2-40B4-BE49-F238E27FC236}">
              <a16:creationId xmlns:a16="http://schemas.microsoft.com/office/drawing/2014/main" id="{D173FC3F-1774-8986-0799-F9486C1CF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49</xdr:row>
      <xdr:rowOff>0</xdr:rowOff>
    </xdr:from>
    <xdr:to>
      <xdr:col>6</xdr:col>
      <xdr:colOff>0</xdr:colOff>
      <xdr:row>66</xdr:row>
      <xdr:rowOff>0</xdr:rowOff>
    </xdr:to>
    <xdr:graphicFrame macro="">
      <xdr:nvGraphicFramePr>
        <xdr:cNvPr id="8" name="CIR vs 66% Comparison FY22-24">
          <a:extLst>
            <a:ext uri="{FF2B5EF4-FFF2-40B4-BE49-F238E27FC236}">
              <a16:creationId xmlns:a16="http://schemas.microsoft.com/office/drawing/2014/main" id="{7D154A97-6A19-B15D-183C-7C7B47218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30</xdr:row>
      <xdr:rowOff>0</xdr:rowOff>
    </xdr:from>
    <xdr:to>
      <xdr:col>13</xdr:col>
      <xdr:colOff>0</xdr:colOff>
      <xdr:row>47</xdr:row>
      <xdr:rowOff>0</xdr:rowOff>
    </xdr:to>
    <xdr:graphicFrame macro="">
      <xdr:nvGraphicFramePr>
        <xdr:cNvPr id="7" name="NPL vs ECB Reference FY22-24">
          <a:extLst>
            <a:ext uri="{FF2B5EF4-FFF2-40B4-BE49-F238E27FC236}">
              <a16:creationId xmlns:a16="http://schemas.microsoft.com/office/drawing/2014/main" id="{33CD867C-E907-6ECA-E9B8-4907B576C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49</xdr:row>
      <xdr:rowOff>0</xdr:rowOff>
    </xdr:from>
    <xdr:to>
      <xdr:col>13</xdr:col>
      <xdr:colOff>0</xdr:colOff>
      <xdr:row>66</xdr:row>
      <xdr:rowOff>0</xdr:rowOff>
    </xdr:to>
    <xdr:graphicFrame macro="">
      <xdr:nvGraphicFramePr>
        <xdr:cNvPr id="9" name="Cost of Risk bps FY22-24">
          <a:extLst>
            <a:ext uri="{FF2B5EF4-FFF2-40B4-BE49-F238E27FC236}">
              <a16:creationId xmlns:a16="http://schemas.microsoft.com/office/drawing/2014/main" id="{274AE536-5D1C-7887-D32D-9FD2571E0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0</xdr:rowOff>
    </xdr:from>
    <xdr:to>
      <xdr:col>8</xdr:col>
      <xdr:colOff>0</xdr:colOff>
      <xdr:row>27</xdr:row>
      <xdr:rowOff>0</xdr:rowOff>
    </xdr:to>
    <xdr:graphicFrame macro="">
      <xdr:nvGraphicFramePr>
        <xdr:cNvPr id="6" name="Net Income Bridge FY22-24">
          <a:extLst>
            <a:ext uri="{FF2B5EF4-FFF2-40B4-BE49-F238E27FC236}">
              <a16:creationId xmlns:a16="http://schemas.microsoft.com/office/drawing/2014/main" id="{30C607F6-A909-4A49-595D-451896C9B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oy Lorna" id="{CFAA88AC-9F09-4EDC-8970-6D841FF86B7F}" userId="S::JoyLorna@FreloTraders.onmicrosoft.com::55e4b55d-dafe-4a73-957c-83d1ba64b2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A604B1-2457-4B0A-9CF7-2B9FDE97BF20}" name="SourceRegisterTable" displayName="SourceRegisterTable" ref="A6:I117" totalsRowShown="0" dataDxfId="1">
  <autoFilter ref="A6:I117" xr:uid="{D9A604B1-2457-4B0A-9CF7-2B9FDE97BF20}"/>
  <tableColumns count="9">
    <tableColumn id="1" xr3:uid="{5C9B55F2-1CF5-4A85-B198-5AC831CFE660}" name="Metric" dataDxfId="9"/>
    <tableColumn id="2" xr3:uid="{F7F089EC-14C6-4AAF-892A-11E98A77994A}" name="Source Document" dataDxfId="8"/>
    <tableColumn id="3" xr3:uid="{EF8D9B95-1581-45C1-B66D-45245AD229C2}" name="Year" dataDxfId="0"/>
    <tableColumn id="4" xr3:uid="{1060928C-8228-45D2-9663-00EC13280424}" name="PAGE / EVIDENCE LOCATION" dataDxfId="7"/>
    <tableColumn id="5" xr3:uid="{A7095232-7D29-474F-B3E4-A015FE34AA31}" name="Report Section" dataDxfId="6"/>
    <tableColumn id="6" xr3:uid="{0C5F67EA-D81B-4EB1-9DBC-02905F55E7B5}" name="Workbook Sheet" dataDxfId="5"/>
    <tableColumn id="7" xr3:uid="{AC72070A-658A-41E0-A75F-9F003AD114D6}" name="Cell Reference" dataDxfId="4"/>
    <tableColumn id="8" xr3:uid="{AD12FD15-0B6B-43B4-98B3-21391BFFBAED}" name="SOURCE URL" dataDxfId="3"/>
    <tableColumn id="9" xr3:uid="{1EF61372-08C9-4340-AC7E-D9EC6AA175D6}" name="EVIDENCE STATUS"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A37140-F8C0-4306-9389-6ED871B0314C}" name="IFRS17RestatementTable" displayName="IFRS17RestatementTable" ref="A6:F10" totalsRowShown="0">
  <autoFilter ref="A6:F10" xr:uid="{E2A37140-F8C0-4306-9389-6ED871B0314C}"/>
  <tableColumns count="6">
    <tableColumn id="1" xr3:uid="{F2BE4610-7134-44C2-89AE-117B26AA30F2}" name="Line Item"/>
    <tableColumn id="2" xr3:uid="{730E1E6D-9F38-4734-8467-15B37F5E1C9F}" name="Reported FY2022" dataDxfId="28"/>
    <tableColumn id="3" xr3:uid="{CE33A297-19AE-4C8E-A7EE-D5E2376F7B7A}" name="Restated FY2022" dataDxfId="27"/>
    <tableColumn id="4" xr3:uid="{8B7A000D-00BD-4883-A898-C4195C28E78F}" name="Difference" dataDxfId="26">
      <calculatedColumnFormula>C7-B7</calculatedColumnFormula>
    </tableColumn>
    <tableColumn id="5" xr3:uid="{15484E14-9DF8-43C9-8569-1E4AB25A186F}" name="Material to Analysis?" dataDxfId="23">
      <calculatedColumnFormula>IF(ABS(D7)&gt;=25,"Yes","No")</calculatedColumnFormula>
    </tableColumn>
    <tableColumn id="6" xr3:uid="{DADB14F5-6FEB-4F8F-A9ED-2F859ADFF8FE}" name="Comments" dataDxfId="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80BFBF-7252-48FC-8953-A30ACA0EEF41}" name="RatioDictionaryTable" displayName="RatioDictionaryTable" ref="A6:E18" totalsRowShown="0" dataDxfId="16">
  <autoFilter ref="A6:E18" xr:uid="{5D80BFBF-7252-48FC-8953-A30ACA0EEF41}"/>
  <tableColumns count="5">
    <tableColumn id="1" xr3:uid="{4F13EAC6-AF24-48E4-AA78-FB2740A05F58}" name="Ratio" dataDxfId="21"/>
    <tableColumn id="2" xr3:uid="{7885A893-3847-43AE-AD1A-9667B61D0B8F}" name="Formula" dataDxfId="20"/>
    <tableColumn id="3" xr3:uid="{C2D3E6E7-2464-41B1-97B1-A7C18B83284D}" name="Interpretation" dataDxfId="19"/>
    <tableColumn id="4" xr3:uid="{01338412-1758-4A6A-A15E-11E44AEBB099}" name="Source" dataDxfId="18"/>
    <tableColumn id="5" xr3:uid="{8D7B1C99-3A5D-4030-8D0C-8619D3A4628B}" name="Notes"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4C3F37-A023-4786-A699-21122D934E9B}" name="DataDictionaryTable" displayName="DataDictionaryTable" ref="A6:E19" totalsRowShown="0" dataDxfId="10">
  <autoFilter ref="A6:E19" xr:uid="{D34C3F37-A023-4786-A699-21122D934E9B}"/>
  <tableColumns count="5">
    <tableColumn id="1" xr3:uid="{295EFC26-E94F-4628-B69B-48B1B198DE6B}" name="Field" dataDxfId="15"/>
    <tableColumn id="2" xr3:uid="{B73CB661-16A8-4DFB-A177-C30DAB957926}" name="Definition" dataDxfId="14"/>
    <tableColumn id="3" xr3:uid="{CEAE4166-DC58-47BC-904E-59BB5A247721}" name="Unit" dataDxfId="13"/>
    <tableColumn id="4" xr3:uid="{2022F4FA-04DF-4A55-B9C0-2097371FE55A}" name="Source" dataDxfId="12"/>
    <tableColumn id="5" xr3:uid="{473CD9E2-FFDB-4D53-AA2C-C4D11F8107C4}" name="Comments" dataDxfId="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928B29-DDE2-44DA-AD37-0491552A4A9F}" name="BenchmarksTable" displayName="BenchmarksTable" ref="A6:E19" totalsRowShown="0">
  <autoFilter ref="A6:E19" xr:uid="{B3928B29-DDE2-44DA-AD37-0491552A4A9F}"/>
  <tableColumns count="5">
    <tableColumn id="1" xr3:uid="{22C919E3-CD10-4AF5-9539-E225FA9F5D68}" name="Measure"/>
    <tableColumn id="2" xr3:uid="{DDD5AE26-B81B-4F11-98E4-1D45574DEB3A}" name="Benchmark"/>
    <tableColumn id="3" xr3:uid="{D1BF6F41-A104-4970-B3BA-4EB25F07B5CB}" name="Source" dataDxfId="25"/>
    <tableColumn id="4" xr3:uid="{AE8C3F3E-4104-4A89-A1EA-09250EFE45C3}" name="Date"/>
    <tableColumn id="5" xr3:uid="{CD5C3381-710C-492F-B265-B12024701DDA}" name="Notes" dataDxfId="2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D6EE080-0305-4EBA-9B47-10A53FF6523F}" name="MethodologyTable" displayName="MethodologyTable" ref="A6:B15" totalsRowShown="0">
  <autoFilter ref="A6:B15" xr:uid="{ED6EE080-0305-4EBA-9B47-10A53FF6523F}"/>
  <tableColumns count="2">
    <tableColumn id="1" xr3:uid="{9DED2C14-BA6E-435A-A8ED-351185C7A6D8}" name="Methodology Area"/>
    <tableColumn id="2" xr3:uid="{B89F3070-71DD-4A7B-945C-74BA4E5DB9DD}" name="Workbook Approach" dataDxfId="2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48" dT="2026-07-22T09:15:46.59" personId="{CFAA88AC-9F09-4EDC-8970-6D841FF86B7F}" id="{07EB6DC4-17A5-4109-BDD6-FE1C444B3334}">
    <text>( FORMULA: CIR = Total Operating Expenses / Total Net Banking Income × 100)</text>
  </threadedComment>
  <threadedComment ref="E49" dT="2026-07-22T09:20:15.46" personId="{CFAA88AC-9F09-4EDC-8970-6D841FF86B7F}" id="{E91FFB70-868A-46BA-8DC8-59A63886006A}">
    <text xml:space="preserve">TREND: This tells you whether credit quality is improving or deteriorating. Going from 31 → lower = improving. Going higher = bank is seeing more loan losses. </text>
  </threadedComment>
  <threadedComment ref="A50" dT="2026-07-22T09:17:15.13" personId="{CFAA88AC-9F09-4EDC-8970-6D841FF86B7F}" id="{2C397FB1-D204-4088-AD0D-3722ADD00848}">
    <text xml:space="preserve">FORMULA: Net Income Margin = Net Income (Group Share) / Total NBI × 100 </text>
  </threadedComment>
  <threadedComment ref="E50" dT="2026-07-22T09:20:37.11" personId="{CFAA88AC-9F09-4EDC-8970-6D841FF86B7F}" id="{D3AFC25B-16A9-4A2B-AEF9-B8C1E2DE7ACB}">
    <text>TREND NOTE: A rising margin means the bank is either growing income faster than costs, reducing credit losses, or benefiting from tax optimization. Declining margin = costs/risks rising faster than revenue.</text>
  </threadedComment>
  <threadedComment ref="A51" dT="2026-07-22T09:23:03.29" personId="{CFAA88AC-9F09-4EDC-8970-6D841FF86B7F}" id="{3DFDF4C5-E11F-4A7B-B324-0924CC3E2BA1}">
    <text xml:space="preserve">FORMULA: EPS = Net Income (Group Share) / Weighted Average Shares Outstanding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873F2-1691-4D19-BFD5-B4A991EF6F9E}">
  <sheetPr>
    <tabColor rgb="FF1F4E78"/>
  </sheetPr>
  <dimension ref="A1:L78"/>
  <sheetViews>
    <sheetView showGridLines="0" topLeftCell="A68" workbookViewId="0">
      <selection activeCell="M44" sqref="M44"/>
    </sheetView>
  </sheetViews>
  <sheetFormatPr defaultRowHeight="14.5" x14ac:dyDescent="0.35"/>
  <cols>
    <col min="1" max="1" width="18.1796875" style="1" customWidth="1"/>
    <col min="2" max="2" width="12.1796875" style="1" customWidth="1"/>
    <col min="3" max="3" width="36.36328125" style="1" customWidth="1"/>
    <col min="4" max="11" width="10" style="1" customWidth="1"/>
    <col min="12" max="16384" width="8.7265625" style="1"/>
  </cols>
  <sheetData>
    <row r="1" spans="1:12" ht="48" customHeight="1" x14ac:dyDescent="0.35">
      <c r="A1" s="261" t="s">
        <v>180</v>
      </c>
      <c r="B1" s="261"/>
      <c r="C1" s="261"/>
      <c r="D1" s="261"/>
      <c r="E1" s="261"/>
      <c r="F1" s="261"/>
      <c r="G1" s="261"/>
      <c r="H1" s="261"/>
      <c r="I1" s="261"/>
      <c r="J1" s="261"/>
      <c r="K1" s="261"/>
    </row>
    <row r="2" spans="1:12" ht="24" customHeight="1" x14ac:dyDescent="0.35">
      <c r="A2" s="262" t="s">
        <v>36</v>
      </c>
      <c r="B2" s="262"/>
      <c r="C2" s="262"/>
      <c r="D2" s="262"/>
      <c r="E2" s="262"/>
      <c r="F2" s="262"/>
      <c r="G2" s="262"/>
      <c r="H2" s="262"/>
      <c r="I2" s="262"/>
      <c r="J2" s="262"/>
      <c r="K2" s="262"/>
    </row>
    <row r="3" spans="1:12" ht="24" customHeight="1" x14ac:dyDescent="0.35">
      <c r="A3" s="263" t="s">
        <v>181</v>
      </c>
      <c r="B3" s="263"/>
      <c r="C3" s="263"/>
      <c r="D3" s="263"/>
      <c r="E3" s="263"/>
      <c r="F3" s="263"/>
      <c r="G3" s="263"/>
      <c r="H3" s="263"/>
      <c r="I3" s="263"/>
      <c r="J3" s="263"/>
      <c r="K3" s="263"/>
      <c r="L3" s="4"/>
    </row>
    <row r="4" spans="1:12" ht="38" customHeight="1" x14ac:dyDescent="0.35">
      <c r="A4" s="11"/>
      <c r="B4" s="11"/>
      <c r="C4" s="11"/>
      <c r="D4" s="11"/>
      <c r="E4" s="11"/>
      <c r="F4" s="11"/>
      <c r="G4" s="11"/>
      <c r="H4" s="11"/>
      <c r="I4" s="11"/>
      <c r="J4" s="11"/>
      <c r="K4" s="11"/>
    </row>
    <row r="5" spans="1:12" ht="22" customHeight="1" x14ac:dyDescent="0.35">
      <c r="A5" s="11"/>
      <c r="B5" s="11"/>
      <c r="C5" s="11"/>
      <c r="D5" s="11"/>
      <c r="E5" s="11"/>
      <c r="F5" s="11"/>
      <c r="G5" s="11"/>
      <c r="H5" s="11"/>
      <c r="I5" s="11"/>
      <c r="J5" s="11"/>
      <c r="K5" s="11"/>
    </row>
    <row r="6" spans="1:12" ht="24" customHeight="1" x14ac:dyDescent="0.35">
      <c r="A6" s="267" t="s">
        <v>8</v>
      </c>
      <c r="B6" s="267"/>
      <c r="C6" s="267"/>
      <c r="D6" s="267"/>
      <c r="E6" s="267"/>
      <c r="F6" s="267"/>
      <c r="G6" s="267"/>
      <c r="H6" s="267"/>
      <c r="I6" s="267"/>
      <c r="J6" s="267"/>
      <c r="K6" s="267"/>
    </row>
    <row r="7" spans="1:12" x14ac:dyDescent="0.35">
      <c r="A7" s="11"/>
      <c r="B7" s="11"/>
      <c r="C7" s="11"/>
      <c r="D7" s="11"/>
      <c r="E7" s="11"/>
      <c r="F7" s="11"/>
      <c r="G7" s="11"/>
      <c r="H7" s="11"/>
      <c r="I7" s="11"/>
      <c r="J7" s="11"/>
      <c r="K7" s="11"/>
    </row>
    <row r="8" spans="1:12" x14ac:dyDescent="0.35">
      <c r="A8" s="270" t="s">
        <v>14</v>
      </c>
      <c r="B8" s="270"/>
      <c r="C8" s="271" t="s">
        <v>15</v>
      </c>
      <c r="D8" s="271"/>
      <c r="E8" s="271"/>
      <c r="F8" s="271"/>
      <c r="G8" s="271"/>
      <c r="H8" s="271"/>
      <c r="I8" s="271"/>
      <c r="J8" s="271"/>
      <c r="K8" s="271"/>
    </row>
    <row r="9" spans="1:12" x14ac:dyDescent="0.35">
      <c r="A9" s="265" t="s">
        <v>16</v>
      </c>
      <c r="B9" s="265"/>
      <c r="C9" s="266" t="s">
        <v>17</v>
      </c>
      <c r="D9" s="266"/>
      <c r="E9" s="266"/>
      <c r="F9" s="266"/>
      <c r="G9" s="266"/>
      <c r="H9" s="266"/>
      <c r="I9" s="266"/>
      <c r="J9" s="266"/>
      <c r="K9" s="266"/>
    </row>
    <row r="10" spans="1:12" x14ac:dyDescent="0.35">
      <c r="A10" s="265" t="s">
        <v>18</v>
      </c>
      <c r="B10" s="265"/>
      <c r="C10" s="272">
        <f>DATE(2026,8,25)</f>
        <v>46259</v>
      </c>
      <c r="D10" s="272"/>
      <c r="E10" s="272"/>
      <c r="F10" s="272"/>
      <c r="G10" s="272"/>
      <c r="H10" s="272"/>
      <c r="I10" s="272"/>
      <c r="J10" s="272"/>
      <c r="K10" s="272"/>
    </row>
    <row r="11" spans="1:12" x14ac:dyDescent="0.35">
      <c r="A11" s="268" t="s">
        <v>19</v>
      </c>
      <c r="B11" s="268"/>
      <c r="C11" s="269" t="s">
        <v>899</v>
      </c>
      <c r="D11" s="269"/>
      <c r="E11" s="269"/>
      <c r="F11" s="269"/>
      <c r="G11" s="269"/>
      <c r="H11" s="269"/>
      <c r="I11" s="269"/>
      <c r="J11" s="269"/>
      <c r="K11" s="269"/>
    </row>
    <row r="12" spans="1:12" x14ac:dyDescent="0.35">
      <c r="A12" s="11"/>
      <c r="B12" s="11"/>
      <c r="C12" s="11"/>
      <c r="D12" s="11"/>
      <c r="E12" s="11"/>
      <c r="F12" s="11"/>
      <c r="G12" s="11"/>
      <c r="H12" s="11"/>
      <c r="I12" s="11"/>
      <c r="J12" s="11"/>
      <c r="K12" s="11"/>
    </row>
    <row r="13" spans="1:12" ht="24" customHeight="1" x14ac:dyDescent="0.35">
      <c r="A13" s="267" t="s">
        <v>9</v>
      </c>
      <c r="B13" s="267"/>
      <c r="C13" s="267"/>
      <c r="D13" s="267"/>
      <c r="E13" s="267"/>
      <c r="F13" s="267"/>
      <c r="G13" s="267"/>
      <c r="H13" s="267"/>
      <c r="I13" s="267"/>
      <c r="J13" s="267"/>
      <c r="K13" s="267"/>
    </row>
    <row r="14" spans="1:12" x14ac:dyDescent="0.35">
      <c r="A14" s="11"/>
      <c r="B14" s="11"/>
      <c r="C14" s="11"/>
      <c r="D14" s="11"/>
      <c r="E14" s="11"/>
      <c r="F14" s="11"/>
      <c r="G14" s="11"/>
      <c r="H14" s="11"/>
      <c r="I14" s="11"/>
      <c r="J14" s="11"/>
      <c r="K14" s="11"/>
    </row>
    <row r="15" spans="1:12" x14ac:dyDescent="0.35">
      <c r="A15" s="270" t="s">
        <v>20</v>
      </c>
      <c r="B15" s="270"/>
      <c r="C15" s="271" t="s">
        <v>21</v>
      </c>
      <c r="D15" s="271"/>
      <c r="E15" s="271"/>
      <c r="F15" s="271"/>
      <c r="G15" s="271"/>
      <c r="H15" s="271"/>
      <c r="I15" s="271"/>
      <c r="J15" s="271"/>
      <c r="K15" s="271"/>
    </row>
    <row r="16" spans="1:12" x14ac:dyDescent="0.35">
      <c r="A16" s="265" t="s">
        <v>22</v>
      </c>
      <c r="B16" s="265"/>
      <c r="C16" s="266" t="s">
        <v>23</v>
      </c>
      <c r="D16" s="266"/>
      <c r="E16" s="266"/>
      <c r="F16" s="266"/>
      <c r="G16" s="266"/>
      <c r="H16" s="266"/>
      <c r="I16" s="266"/>
      <c r="J16" s="266"/>
      <c r="K16" s="266"/>
    </row>
    <row r="17" spans="1:11" x14ac:dyDescent="0.35">
      <c r="A17" s="265" t="s">
        <v>24</v>
      </c>
      <c r="B17" s="265"/>
      <c r="C17" s="266" t="s">
        <v>25</v>
      </c>
      <c r="D17" s="266"/>
      <c r="E17" s="266"/>
      <c r="F17" s="266"/>
      <c r="G17" s="266"/>
      <c r="H17" s="266"/>
      <c r="I17" s="266"/>
      <c r="J17" s="266"/>
      <c r="K17" s="266"/>
    </row>
    <row r="18" spans="1:11" x14ac:dyDescent="0.35">
      <c r="A18" s="265" t="s">
        <v>26</v>
      </c>
      <c r="B18" s="265"/>
      <c r="C18" s="266" t="s">
        <v>27</v>
      </c>
      <c r="D18" s="266"/>
      <c r="E18" s="266"/>
      <c r="F18" s="266"/>
      <c r="G18" s="266"/>
      <c r="H18" s="266"/>
      <c r="I18" s="266"/>
      <c r="J18" s="266"/>
      <c r="K18" s="266"/>
    </row>
    <row r="19" spans="1:11" x14ac:dyDescent="0.35">
      <c r="A19" s="265"/>
      <c r="B19" s="265"/>
      <c r="C19" s="266"/>
      <c r="D19" s="266"/>
      <c r="E19" s="266"/>
      <c r="F19" s="266"/>
      <c r="G19" s="266"/>
      <c r="H19" s="266"/>
      <c r="I19" s="266"/>
      <c r="J19" s="266"/>
      <c r="K19" s="266"/>
    </row>
    <row r="20" spans="1:11" x14ac:dyDescent="0.35">
      <c r="A20" s="265" t="s">
        <v>28</v>
      </c>
      <c r="B20" s="265"/>
      <c r="C20" s="266" t="s">
        <v>29</v>
      </c>
      <c r="D20" s="266"/>
      <c r="E20" s="266"/>
      <c r="F20" s="266"/>
      <c r="G20" s="266"/>
      <c r="H20" s="266"/>
      <c r="I20" s="266"/>
      <c r="J20" s="266"/>
      <c r="K20" s="266"/>
    </row>
    <row r="21" spans="1:11" x14ac:dyDescent="0.35">
      <c r="A21" s="265" t="s">
        <v>30</v>
      </c>
      <c r="B21" s="265"/>
      <c r="C21" s="266" t="s">
        <v>31</v>
      </c>
      <c r="D21" s="266"/>
      <c r="E21" s="266"/>
      <c r="F21" s="266"/>
      <c r="G21" s="266"/>
      <c r="H21" s="266"/>
      <c r="I21" s="266"/>
      <c r="J21" s="266"/>
      <c r="K21" s="266"/>
    </row>
    <row r="22" spans="1:11" x14ac:dyDescent="0.35">
      <c r="A22" s="265" t="s">
        <v>32</v>
      </c>
      <c r="B22" s="265"/>
      <c r="C22" s="266" t="s">
        <v>43</v>
      </c>
      <c r="D22" s="266"/>
      <c r="E22" s="266"/>
      <c r="F22" s="266"/>
      <c r="G22" s="266"/>
      <c r="H22" s="266"/>
      <c r="I22" s="266"/>
      <c r="J22" s="266"/>
      <c r="K22" s="266"/>
    </row>
    <row r="23" spans="1:11" x14ac:dyDescent="0.35">
      <c r="A23" s="265" t="s">
        <v>33</v>
      </c>
      <c r="B23" s="265"/>
      <c r="C23" s="266" t="s">
        <v>34</v>
      </c>
      <c r="D23" s="266"/>
      <c r="E23" s="266"/>
      <c r="F23" s="266"/>
      <c r="G23" s="266"/>
      <c r="H23" s="266"/>
      <c r="I23" s="266"/>
      <c r="J23" s="266"/>
      <c r="K23" s="266"/>
    </row>
    <row r="24" spans="1:11" x14ac:dyDescent="0.35">
      <c r="A24" s="265"/>
      <c r="B24" s="265"/>
      <c r="C24" s="266"/>
      <c r="D24" s="266"/>
      <c r="E24" s="266"/>
      <c r="F24" s="266"/>
      <c r="G24" s="266"/>
      <c r="H24" s="266"/>
      <c r="I24" s="266"/>
      <c r="J24" s="266"/>
      <c r="K24" s="266"/>
    </row>
    <row r="25" spans="1:11" x14ac:dyDescent="0.35">
      <c r="A25" s="268"/>
      <c r="B25" s="268"/>
      <c r="C25" s="269"/>
      <c r="D25" s="269"/>
      <c r="E25" s="269"/>
      <c r="F25" s="269"/>
      <c r="G25" s="269"/>
      <c r="H25" s="269"/>
      <c r="I25" s="269"/>
      <c r="J25" s="269"/>
      <c r="K25" s="269"/>
    </row>
    <row r="26" spans="1:11" x14ac:dyDescent="0.35">
      <c r="A26" s="11"/>
      <c r="B26" s="11"/>
      <c r="C26" s="11"/>
      <c r="D26" s="11"/>
      <c r="E26" s="11"/>
      <c r="F26" s="11"/>
      <c r="G26" s="11"/>
      <c r="H26" s="11"/>
      <c r="I26" s="11"/>
      <c r="J26" s="11"/>
      <c r="K26" s="11"/>
    </row>
    <row r="27" spans="1:11" ht="24" customHeight="1" x14ac:dyDescent="0.35">
      <c r="A27" s="267" t="s">
        <v>10</v>
      </c>
      <c r="B27" s="267"/>
      <c r="C27" s="267"/>
      <c r="D27" s="267"/>
      <c r="E27" s="267"/>
      <c r="F27" s="267"/>
      <c r="G27" s="267"/>
      <c r="H27" s="267"/>
      <c r="I27" s="267"/>
      <c r="J27" s="267"/>
      <c r="K27" s="267"/>
    </row>
    <row r="28" spans="1:11" x14ac:dyDescent="0.35">
      <c r="A28" s="11"/>
      <c r="B28" s="11"/>
      <c r="C28" s="11"/>
      <c r="D28" s="11"/>
      <c r="E28" s="11"/>
      <c r="F28" s="11"/>
      <c r="G28" s="11"/>
      <c r="H28" s="11"/>
      <c r="I28" s="11"/>
      <c r="J28" s="11"/>
      <c r="K28" s="11"/>
    </row>
    <row r="29" spans="1:11" x14ac:dyDescent="0.35">
      <c r="A29" s="273" t="s">
        <v>35</v>
      </c>
      <c r="B29" s="273"/>
      <c r="C29" s="274" t="s">
        <v>36</v>
      </c>
      <c r="D29" s="274"/>
      <c r="E29" s="274"/>
      <c r="F29" s="274"/>
      <c r="G29" s="274"/>
      <c r="H29" s="274"/>
      <c r="I29" s="274"/>
      <c r="J29" s="274"/>
      <c r="K29" s="274"/>
    </row>
    <row r="30" spans="1:11" x14ac:dyDescent="0.35">
      <c r="A30" s="275" t="s">
        <v>37</v>
      </c>
      <c r="B30" s="275"/>
      <c r="C30" s="276" t="s">
        <v>985</v>
      </c>
      <c r="D30" s="276"/>
      <c r="E30" s="276"/>
      <c r="F30" s="276"/>
      <c r="G30" s="276"/>
      <c r="H30" s="276"/>
      <c r="I30" s="276"/>
      <c r="J30" s="276"/>
      <c r="K30" s="276"/>
    </row>
    <row r="31" spans="1:11" x14ac:dyDescent="0.35">
      <c r="A31" s="275" t="s">
        <v>38</v>
      </c>
      <c r="B31" s="275"/>
      <c r="C31" s="276" t="s">
        <v>39</v>
      </c>
      <c r="D31" s="276"/>
      <c r="E31" s="276"/>
      <c r="F31" s="276"/>
      <c r="G31" s="276"/>
      <c r="H31" s="276"/>
      <c r="I31" s="276"/>
      <c r="J31" s="276"/>
      <c r="K31" s="276"/>
    </row>
    <row r="32" spans="1:11" x14ac:dyDescent="0.35">
      <c r="A32" s="275" t="s">
        <v>40</v>
      </c>
      <c r="B32" s="275"/>
      <c r="C32" s="276" t="s">
        <v>591</v>
      </c>
      <c r="D32" s="276"/>
      <c r="E32" s="276"/>
      <c r="F32" s="276"/>
      <c r="G32" s="276"/>
      <c r="H32" s="276"/>
      <c r="I32" s="276"/>
      <c r="J32" s="276"/>
      <c r="K32" s="276"/>
    </row>
    <row r="33" spans="1:11" x14ac:dyDescent="0.35">
      <c r="A33" s="275" t="s">
        <v>42</v>
      </c>
      <c r="B33" s="275"/>
      <c r="C33" s="276" t="s">
        <v>41</v>
      </c>
      <c r="D33" s="276"/>
      <c r="E33" s="276"/>
      <c r="F33" s="276"/>
      <c r="G33" s="276"/>
      <c r="H33" s="276"/>
      <c r="I33" s="276"/>
      <c r="J33" s="276"/>
      <c r="K33" s="276"/>
    </row>
    <row r="34" spans="1:11" x14ac:dyDescent="0.35">
      <c r="A34" s="275" t="s">
        <v>44</v>
      </c>
      <c r="B34" s="275"/>
      <c r="C34" s="276" t="s">
        <v>986</v>
      </c>
      <c r="D34" s="276"/>
      <c r="E34" s="276"/>
      <c r="F34" s="276"/>
      <c r="G34" s="276"/>
      <c r="H34" s="276"/>
      <c r="I34" s="276"/>
      <c r="J34" s="276"/>
      <c r="K34" s="276"/>
    </row>
    <row r="35" spans="1:11" ht="43" customHeight="1" x14ac:dyDescent="0.35">
      <c r="A35" s="277" t="s">
        <v>592</v>
      </c>
      <c r="B35" s="277"/>
      <c r="C35" s="278" t="s">
        <v>987</v>
      </c>
      <c r="D35" s="278"/>
      <c r="E35" s="278"/>
      <c r="F35" s="278"/>
      <c r="G35" s="278"/>
      <c r="H35" s="278"/>
      <c r="I35" s="278"/>
      <c r="J35" s="278"/>
      <c r="K35" s="278"/>
    </row>
    <row r="36" spans="1:11" x14ac:dyDescent="0.35">
      <c r="A36" s="11"/>
      <c r="B36" s="11"/>
      <c r="C36" s="11"/>
      <c r="D36" s="11"/>
      <c r="E36" s="11"/>
      <c r="F36" s="11"/>
      <c r="G36" s="11"/>
      <c r="H36" s="11"/>
      <c r="I36" s="11"/>
      <c r="J36" s="11"/>
      <c r="K36" s="11"/>
    </row>
    <row r="37" spans="1:11" ht="24" customHeight="1" x14ac:dyDescent="0.4">
      <c r="A37" s="279" t="s">
        <v>637</v>
      </c>
      <c r="B37" s="279"/>
      <c r="C37" s="279"/>
      <c r="D37" s="279"/>
      <c r="E37" s="279"/>
      <c r="F37" s="279"/>
      <c r="G37" s="279"/>
      <c r="H37" s="279"/>
      <c r="I37" s="279"/>
      <c r="J37" s="279"/>
      <c r="K37" s="279"/>
    </row>
    <row r="38" spans="1:11" x14ac:dyDescent="0.35">
      <c r="A38"/>
      <c r="B38"/>
      <c r="C38"/>
      <c r="D38"/>
      <c r="E38"/>
      <c r="F38"/>
      <c r="G38"/>
      <c r="H38"/>
      <c r="I38"/>
      <c r="J38"/>
      <c r="K38"/>
    </row>
    <row r="39" spans="1:11" ht="22" customHeight="1" x14ac:dyDescent="0.35">
      <c r="A39" s="264" t="s">
        <v>0</v>
      </c>
      <c r="B39" s="264"/>
      <c r="C39" s="264"/>
      <c r="D39" s="264"/>
      <c r="E39" s="264"/>
      <c r="F39" s="264"/>
      <c r="G39" s="264"/>
      <c r="H39" s="264"/>
      <c r="I39" s="264"/>
      <c r="J39" s="264"/>
      <c r="K39" s="264"/>
    </row>
    <row r="40" spans="1:11" x14ac:dyDescent="0.35">
      <c r="A40" s="356">
        <v>1</v>
      </c>
      <c r="B40" s="255"/>
      <c r="C40" s="256" t="s">
        <v>638</v>
      </c>
      <c r="D40" s="256"/>
      <c r="E40" s="256"/>
      <c r="F40" s="256"/>
      <c r="G40" s="256"/>
      <c r="H40" s="256"/>
      <c r="I40" s="256"/>
      <c r="J40" s="256"/>
      <c r="K40" s="256"/>
    </row>
    <row r="41" spans="1:11" x14ac:dyDescent="0.35">
      <c r="A41" s="357">
        <v>2</v>
      </c>
      <c r="B41" s="257"/>
      <c r="C41" s="258" t="s">
        <v>900</v>
      </c>
      <c r="D41" s="258"/>
      <c r="E41" s="258"/>
      <c r="F41" s="258"/>
      <c r="G41" s="258"/>
      <c r="H41" s="258"/>
      <c r="I41" s="258"/>
      <c r="J41" s="258"/>
      <c r="K41" s="258"/>
    </row>
    <row r="42" spans="1:11" x14ac:dyDescent="0.35">
      <c r="A42" s="358">
        <v>3</v>
      </c>
      <c r="B42" s="259"/>
      <c r="C42" s="260" t="s">
        <v>639</v>
      </c>
      <c r="D42" s="260"/>
      <c r="E42" s="260"/>
      <c r="F42" s="260"/>
      <c r="G42" s="260"/>
      <c r="H42" s="260"/>
      <c r="I42" s="260"/>
      <c r="J42" s="260"/>
      <c r="K42" s="260"/>
    </row>
    <row r="43" spans="1:11" x14ac:dyDescent="0.35">
      <c r="A43" s="359">
        <v>4</v>
      </c>
      <c r="B43" s="253"/>
      <c r="C43" s="254" t="s">
        <v>640</v>
      </c>
      <c r="D43" s="254"/>
      <c r="E43" s="254"/>
      <c r="F43" s="254"/>
      <c r="G43" s="254"/>
      <c r="H43" s="254"/>
      <c r="I43" s="254"/>
      <c r="J43" s="254"/>
      <c r="K43" s="254"/>
    </row>
    <row r="44" spans="1:11" ht="22" customHeight="1" x14ac:dyDescent="0.35">
      <c r="A44" s="360" t="s">
        <v>1</v>
      </c>
      <c r="B44" s="264"/>
      <c r="C44" s="264"/>
      <c r="D44" s="264"/>
      <c r="E44" s="264"/>
      <c r="F44" s="264"/>
      <c r="G44" s="264"/>
      <c r="H44" s="264"/>
      <c r="I44" s="264"/>
      <c r="J44" s="264"/>
      <c r="K44" s="264"/>
    </row>
    <row r="45" spans="1:11" x14ac:dyDescent="0.35">
      <c r="A45" s="356">
        <v>1</v>
      </c>
      <c r="B45" s="255"/>
      <c r="C45" s="256" t="s">
        <v>641</v>
      </c>
      <c r="D45" s="256"/>
      <c r="E45" s="256"/>
      <c r="F45" s="256"/>
      <c r="G45" s="256"/>
      <c r="H45" s="256"/>
      <c r="I45" s="256"/>
      <c r="J45" s="256"/>
      <c r="K45" s="256"/>
    </row>
    <row r="46" spans="1:11" x14ac:dyDescent="0.35">
      <c r="A46" s="357">
        <v>2</v>
      </c>
      <c r="B46" s="257"/>
      <c r="C46" s="258" t="s">
        <v>642</v>
      </c>
      <c r="D46" s="258"/>
      <c r="E46" s="258"/>
      <c r="F46" s="258"/>
      <c r="G46" s="258"/>
      <c r="H46" s="258"/>
      <c r="I46" s="258"/>
      <c r="J46" s="258"/>
      <c r="K46" s="258"/>
    </row>
    <row r="47" spans="1:11" x14ac:dyDescent="0.35">
      <c r="A47" s="358">
        <v>3</v>
      </c>
      <c r="B47" s="259"/>
      <c r="C47" s="260" t="s">
        <v>643</v>
      </c>
      <c r="D47" s="260"/>
      <c r="E47" s="260"/>
      <c r="F47" s="260"/>
      <c r="G47" s="260"/>
      <c r="H47" s="260"/>
      <c r="I47" s="260"/>
      <c r="J47" s="260"/>
      <c r="K47" s="260"/>
    </row>
    <row r="48" spans="1:11" x14ac:dyDescent="0.35">
      <c r="A48" s="359">
        <v>4</v>
      </c>
      <c r="B48" s="253"/>
      <c r="C48" s="254" t="s">
        <v>644</v>
      </c>
      <c r="D48" s="254"/>
      <c r="E48" s="254"/>
      <c r="F48" s="254"/>
      <c r="G48" s="254"/>
      <c r="H48" s="254"/>
      <c r="I48" s="254"/>
      <c r="J48" s="254"/>
      <c r="K48" s="254"/>
    </row>
    <row r="49" spans="1:11" ht="22" customHeight="1" x14ac:dyDescent="0.35">
      <c r="A49" s="360" t="s">
        <v>2</v>
      </c>
      <c r="B49" s="264"/>
      <c r="C49" s="264"/>
      <c r="D49" s="264"/>
      <c r="E49" s="264"/>
      <c r="F49" s="264"/>
      <c r="G49" s="264"/>
      <c r="H49" s="264"/>
      <c r="I49" s="264"/>
      <c r="J49" s="264"/>
      <c r="K49" s="264"/>
    </row>
    <row r="50" spans="1:11" x14ac:dyDescent="0.35">
      <c r="A50" s="356">
        <v>1</v>
      </c>
      <c r="B50" s="255"/>
      <c r="C50" s="256" t="s">
        <v>645</v>
      </c>
      <c r="D50" s="256"/>
      <c r="E50" s="256"/>
      <c r="F50" s="256"/>
      <c r="G50" s="256"/>
      <c r="H50" s="256"/>
      <c r="I50" s="256"/>
      <c r="J50" s="256"/>
      <c r="K50" s="256"/>
    </row>
    <row r="51" spans="1:11" x14ac:dyDescent="0.35">
      <c r="A51" s="357">
        <v>2</v>
      </c>
      <c r="B51" s="257"/>
      <c r="C51" s="258" t="s">
        <v>646</v>
      </c>
      <c r="D51" s="258"/>
      <c r="E51" s="258"/>
      <c r="F51" s="258"/>
      <c r="G51" s="258"/>
      <c r="H51" s="258"/>
      <c r="I51" s="258"/>
      <c r="J51" s="258"/>
      <c r="K51" s="258"/>
    </row>
    <row r="52" spans="1:11" x14ac:dyDescent="0.35">
      <c r="A52" s="358">
        <v>3</v>
      </c>
      <c r="B52" s="259"/>
      <c r="C52" s="260" t="s">
        <v>647</v>
      </c>
      <c r="D52" s="260"/>
      <c r="E52" s="260"/>
      <c r="F52" s="260"/>
      <c r="G52" s="260"/>
      <c r="H52" s="260"/>
      <c r="I52" s="260"/>
      <c r="J52" s="260"/>
      <c r="K52" s="260"/>
    </row>
    <row r="53" spans="1:11" x14ac:dyDescent="0.35">
      <c r="A53" s="359">
        <v>4</v>
      </c>
      <c r="B53" s="253"/>
      <c r="C53" s="254" t="s">
        <v>648</v>
      </c>
      <c r="D53" s="254"/>
      <c r="E53" s="254"/>
      <c r="F53" s="254"/>
      <c r="G53" s="254"/>
      <c r="H53" s="254"/>
      <c r="I53" s="254"/>
      <c r="J53" s="254"/>
      <c r="K53" s="254"/>
    </row>
    <row r="54" spans="1:11" s="11" customFormat="1" ht="13" x14ac:dyDescent="0.35"/>
    <row r="55" spans="1:11" ht="24" customHeight="1" x14ac:dyDescent="0.35">
      <c r="A55" s="267" t="s">
        <v>11</v>
      </c>
      <c r="B55" s="267"/>
      <c r="C55" s="267"/>
      <c r="D55" s="267"/>
      <c r="E55" s="267"/>
      <c r="F55" s="267"/>
      <c r="G55" s="267"/>
      <c r="H55" s="267"/>
      <c r="I55" s="267"/>
      <c r="J55" s="267"/>
      <c r="K55" s="267"/>
    </row>
    <row r="56" spans="1:11" x14ac:dyDescent="0.35">
      <c r="A56" s="11"/>
      <c r="B56" s="11"/>
      <c r="C56" s="11"/>
      <c r="D56" s="11"/>
      <c r="E56" s="11"/>
      <c r="F56" s="11"/>
      <c r="G56" s="11"/>
      <c r="H56" s="11"/>
      <c r="I56" s="11"/>
      <c r="J56" s="11"/>
      <c r="K56" s="11"/>
    </row>
    <row r="57" spans="1:11" x14ac:dyDescent="0.35">
      <c r="A57" s="284" t="s">
        <v>609</v>
      </c>
      <c r="B57" s="284"/>
      <c r="C57" s="284"/>
      <c r="D57" s="284"/>
      <c r="E57" s="284"/>
      <c r="F57" s="284"/>
      <c r="G57" s="284"/>
      <c r="H57" s="284"/>
      <c r="I57" s="284"/>
      <c r="J57" s="284"/>
      <c r="K57" s="284"/>
    </row>
    <row r="58" spans="1:11" x14ac:dyDescent="0.35">
      <c r="A58" s="285" t="s">
        <v>610</v>
      </c>
      <c r="B58" s="285"/>
      <c r="C58" s="285"/>
      <c r="D58" s="285"/>
      <c r="E58" s="285"/>
      <c r="F58" s="285"/>
      <c r="G58" s="285"/>
      <c r="H58" s="285"/>
      <c r="I58" s="285"/>
      <c r="J58" s="285"/>
      <c r="K58" s="285"/>
    </row>
    <row r="59" spans="1:11" x14ac:dyDescent="0.35">
      <c r="A59" s="285" t="s">
        <v>611</v>
      </c>
      <c r="B59" s="285"/>
      <c r="C59" s="285"/>
      <c r="D59" s="285"/>
      <c r="E59" s="285"/>
      <c r="F59" s="285"/>
      <c r="G59" s="285"/>
      <c r="H59" s="285"/>
      <c r="I59" s="285"/>
      <c r="J59" s="285"/>
      <c r="K59" s="285"/>
    </row>
    <row r="60" spans="1:11" x14ac:dyDescent="0.35">
      <c r="A60" s="285" t="s">
        <v>612</v>
      </c>
      <c r="B60" s="285"/>
      <c r="C60" s="285"/>
      <c r="D60" s="285"/>
      <c r="E60" s="285"/>
      <c r="F60" s="285"/>
      <c r="G60" s="285"/>
      <c r="H60" s="285"/>
      <c r="I60" s="285"/>
      <c r="J60" s="285"/>
      <c r="K60" s="285"/>
    </row>
    <row r="61" spans="1:11" x14ac:dyDescent="0.35">
      <c r="A61" s="285" t="s">
        <v>988</v>
      </c>
      <c r="B61" s="285"/>
      <c r="C61" s="285"/>
      <c r="D61" s="285"/>
      <c r="E61" s="285"/>
      <c r="F61" s="285"/>
      <c r="G61" s="285"/>
      <c r="H61" s="285"/>
      <c r="I61" s="285"/>
      <c r="J61" s="285"/>
      <c r="K61" s="285"/>
    </row>
    <row r="62" spans="1:11" x14ac:dyDescent="0.35">
      <c r="A62" s="285"/>
      <c r="B62" s="285"/>
      <c r="C62" s="285"/>
      <c r="D62" s="285"/>
      <c r="E62" s="285"/>
      <c r="F62" s="285"/>
      <c r="G62" s="285"/>
      <c r="H62" s="285"/>
      <c r="I62" s="285"/>
      <c r="J62" s="285"/>
      <c r="K62" s="285"/>
    </row>
    <row r="63" spans="1:11" x14ac:dyDescent="0.35">
      <c r="A63" s="285" t="s">
        <v>613</v>
      </c>
      <c r="B63" s="285"/>
      <c r="C63" s="285"/>
      <c r="D63" s="285"/>
      <c r="E63" s="285"/>
      <c r="F63" s="285"/>
      <c r="G63" s="285"/>
      <c r="H63" s="285"/>
      <c r="I63" s="285"/>
      <c r="J63" s="285"/>
      <c r="K63" s="285"/>
    </row>
    <row r="64" spans="1:11" x14ac:dyDescent="0.35">
      <c r="A64" s="286" t="s">
        <v>614</v>
      </c>
      <c r="B64" s="286"/>
      <c r="C64" s="286"/>
      <c r="D64" s="286"/>
      <c r="E64" s="286"/>
      <c r="F64" s="286"/>
      <c r="G64" s="286"/>
      <c r="H64" s="286"/>
      <c r="I64" s="286"/>
      <c r="J64" s="286"/>
      <c r="K64" s="286"/>
    </row>
    <row r="65" spans="1:11" x14ac:dyDescent="0.35">
      <c r="A65" s="11"/>
      <c r="B65" s="11"/>
      <c r="C65" s="11"/>
      <c r="D65" s="11"/>
      <c r="E65" s="11"/>
      <c r="F65" s="11"/>
      <c r="G65" s="11"/>
      <c r="H65" s="11"/>
      <c r="I65" s="11"/>
      <c r="J65" s="11"/>
      <c r="K65" s="11"/>
    </row>
    <row r="66" spans="1:11" ht="24" customHeight="1" x14ac:dyDescent="0.35">
      <c r="A66" s="267" t="s">
        <v>12</v>
      </c>
      <c r="B66" s="267"/>
      <c r="C66" s="267"/>
      <c r="D66" s="267"/>
      <c r="E66" s="267"/>
      <c r="F66" s="267"/>
      <c r="G66" s="267"/>
      <c r="H66" s="267"/>
      <c r="I66" s="267"/>
      <c r="J66" s="267"/>
      <c r="K66" s="267"/>
    </row>
    <row r="67" spans="1:11" x14ac:dyDescent="0.35">
      <c r="A67" s="11"/>
      <c r="B67" s="11"/>
      <c r="C67" s="11"/>
      <c r="D67" s="11"/>
      <c r="E67" s="11"/>
      <c r="F67" s="11"/>
      <c r="G67" s="11"/>
      <c r="H67" s="11"/>
      <c r="I67" s="11"/>
      <c r="J67" s="11"/>
      <c r="K67" s="11"/>
    </row>
    <row r="68" spans="1:11" x14ac:dyDescent="0.35">
      <c r="A68" s="280" t="s">
        <v>45</v>
      </c>
      <c r="B68" s="280"/>
      <c r="C68" s="281" t="s">
        <v>46</v>
      </c>
      <c r="D68" s="281"/>
      <c r="E68" s="281"/>
      <c r="F68" s="281"/>
      <c r="G68" s="281"/>
      <c r="H68" s="281"/>
      <c r="I68" s="281"/>
      <c r="J68" s="281"/>
      <c r="K68" s="281"/>
    </row>
    <row r="69" spans="1:11" x14ac:dyDescent="0.35">
      <c r="A69" s="282" t="s">
        <v>47</v>
      </c>
      <c r="B69" s="282"/>
      <c r="C69" s="283" t="s">
        <v>989</v>
      </c>
      <c r="D69" s="283"/>
      <c r="E69" s="283"/>
      <c r="F69" s="283"/>
      <c r="G69" s="283"/>
      <c r="H69" s="283"/>
      <c r="I69" s="283"/>
      <c r="J69" s="283"/>
      <c r="K69" s="283"/>
    </row>
    <row r="70" spans="1:11" x14ac:dyDescent="0.35">
      <c r="A70" s="282" t="s">
        <v>49</v>
      </c>
      <c r="B70" s="282"/>
      <c r="C70" s="283" t="s">
        <v>48</v>
      </c>
      <c r="D70" s="283"/>
      <c r="E70" s="283"/>
      <c r="F70" s="283"/>
      <c r="G70" s="283"/>
      <c r="H70" s="283"/>
      <c r="I70" s="283"/>
      <c r="J70" s="283"/>
      <c r="K70" s="283"/>
    </row>
    <row r="71" spans="1:11" x14ac:dyDescent="0.35">
      <c r="A71" s="282" t="s">
        <v>50</v>
      </c>
      <c r="B71" s="282"/>
      <c r="C71" s="283" t="s">
        <v>990</v>
      </c>
      <c r="D71" s="283"/>
      <c r="E71" s="283"/>
      <c r="F71" s="283"/>
      <c r="G71" s="283"/>
      <c r="H71" s="283"/>
      <c r="I71" s="283"/>
      <c r="J71" s="283"/>
      <c r="K71" s="283"/>
    </row>
    <row r="72" spans="1:11" x14ac:dyDescent="0.35">
      <c r="A72" s="288" t="s">
        <v>51</v>
      </c>
      <c r="B72" s="288"/>
      <c r="C72" s="289" t="s">
        <v>991</v>
      </c>
      <c r="D72" s="289"/>
      <c r="E72" s="289"/>
      <c r="F72" s="289"/>
      <c r="G72" s="289"/>
      <c r="H72" s="289"/>
      <c r="I72" s="289"/>
      <c r="J72" s="289"/>
      <c r="K72" s="289"/>
    </row>
    <row r="73" spans="1:11" x14ac:dyDescent="0.35">
      <c r="A73" s="11"/>
      <c r="B73" s="11"/>
      <c r="C73" s="11"/>
      <c r="D73" s="11"/>
      <c r="E73" s="11"/>
      <c r="F73" s="11"/>
      <c r="G73" s="11"/>
      <c r="H73" s="11"/>
      <c r="I73" s="11"/>
      <c r="J73" s="11"/>
      <c r="K73" s="11"/>
    </row>
    <row r="74" spans="1:11" ht="24" customHeight="1" x14ac:dyDescent="0.35">
      <c r="A74" s="267" t="s">
        <v>13</v>
      </c>
      <c r="B74" s="267"/>
      <c r="C74" s="267"/>
      <c r="D74" s="267"/>
      <c r="E74" s="267"/>
      <c r="F74" s="267"/>
      <c r="G74" s="267"/>
      <c r="H74" s="267"/>
      <c r="I74" s="267"/>
      <c r="J74" s="267"/>
      <c r="K74" s="267"/>
    </row>
    <row r="75" spans="1:11" x14ac:dyDescent="0.35">
      <c r="A75" s="11"/>
      <c r="B75" s="11"/>
      <c r="C75" s="11"/>
      <c r="D75" s="11"/>
      <c r="E75" s="11"/>
      <c r="F75" s="11"/>
      <c r="G75" s="11"/>
      <c r="H75" s="11"/>
      <c r="I75" s="11"/>
      <c r="J75" s="11"/>
      <c r="K75" s="11"/>
    </row>
    <row r="76" spans="1:11" ht="22" customHeight="1" x14ac:dyDescent="0.35">
      <c r="A76" s="287" t="s">
        <v>182</v>
      </c>
      <c r="B76" s="287"/>
      <c r="C76" s="287"/>
      <c r="D76" s="287"/>
      <c r="E76" s="287"/>
      <c r="F76" s="287"/>
      <c r="G76" s="287"/>
      <c r="H76" s="287"/>
      <c r="I76" s="287"/>
      <c r="J76" s="287"/>
      <c r="K76" s="287"/>
    </row>
    <row r="77" spans="1:11" ht="22" customHeight="1" x14ac:dyDescent="0.35">
      <c r="A77" s="287"/>
      <c r="B77" s="287"/>
      <c r="C77" s="287"/>
      <c r="D77" s="287"/>
      <c r="E77" s="287"/>
      <c r="F77" s="287"/>
      <c r="G77" s="287"/>
      <c r="H77" s="287"/>
      <c r="I77" s="287"/>
      <c r="J77" s="287"/>
      <c r="K77" s="287"/>
    </row>
    <row r="78" spans="1:11" ht="22" customHeight="1" x14ac:dyDescent="0.35">
      <c r="A78" s="287"/>
      <c r="B78" s="287"/>
      <c r="C78" s="287"/>
      <c r="D78" s="287"/>
      <c r="E78" s="287"/>
      <c r="F78" s="287"/>
      <c r="G78" s="287"/>
      <c r="H78" s="287"/>
      <c r="I78" s="287"/>
      <c r="J78" s="287"/>
      <c r="K78" s="287"/>
    </row>
  </sheetData>
  <mergeCells count="100">
    <mergeCell ref="A76:K78"/>
    <mergeCell ref="A70:B70"/>
    <mergeCell ref="C70:K70"/>
    <mergeCell ref="A71:B71"/>
    <mergeCell ref="C71:K71"/>
    <mergeCell ref="A72:B72"/>
    <mergeCell ref="C72:K72"/>
    <mergeCell ref="A74:K74"/>
    <mergeCell ref="A69:B69"/>
    <mergeCell ref="C69:K69"/>
    <mergeCell ref="A57:K57"/>
    <mergeCell ref="A58:K58"/>
    <mergeCell ref="A59:K59"/>
    <mergeCell ref="A60:K60"/>
    <mergeCell ref="A61:K61"/>
    <mergeCell ref="A62:K62"/>
    <mergeCell ref="A63:K63"/>
    <mergeCell ref="A64:K64"/>
    <mergeCell ref="A66:K66"/>
    <mergeCell ref="A42:B42"/>
    <mergeCell ref="C42:K42"/>
    <mergeCell ref="A43:B43"/>
    <mergeCell ref="C43:K43"/>
    <mergeCell ref="A68:B68"/>
    <mergeCell ref="C68:K68"/>
    <mergeCell ref="A55:K55"/>
    <mergeCell ref="A45:B45"/>
    <mergeCell ref="C45:K45"/>
    <mergeCell ref="A46:B46"/>
    <mergeCell ref="C46:K46"/>
    <mergeCell ref="A47:B47"/>
    <mergeCell ref="C47:K47"/>
    <mergeCell ref="A48:B48"/>
    <mergeCell ref="C48:K48"/>
    <mergeCell ref="A49:K49"/>
    <mergeCell ref="A40:B40"/>
    <mergeCell ref="C40:K40"/>
    <mergeCell ref="A37:K37"/>
    <mergeCell ref="A41:B41"/>
    <mergeCell ref="C41:K41"/>
    <mergeCell ref="A33:B33"/>
    <mergeCell ref="C33:K33"/>
    <mergeCell ref="A34:B34"/>
    <mergeCell ref="C34:K34"/>
    <mergeCell ref="A35:B35"/>
    <mergeCell ref="C35:K35"/>
    <mergeCell ref="A30:B30"/>
    <mergeCell ref="C30:K30"/>
    <mergeCell ref="A31:B31"/>
    <mergeCell ref="C31:K31"/>
    <mergeCell ref="A32:B32"/>
    <mergeCell ref="C32:K32"/>
    <mergeCell ref="A24:B24"/>
    <mergeCell ref="C24:K24"/>
    <mergeCell ref="A25:B25"/>
    <mergeCell ref="C25:K25"/>
    <mergeCell ref="A29:B29"/>
    <mergeCell ref="C29:K29"/>
    <mergeCell ref="A8:B8"/>
    <mergeCell ref="C8:K8"/>
    <mergeCell ref="A9:B9"/>
    <mergeCell ref="C9:K9"/>
    <mergeCell ref="A10:B10"/>
    <mergeCell ref="C10:K10"/>
    <mergeCell ref="A11:B11"/>
    <mergeCell ref="C11:K11"/>
    <mergeCell ref="A15:B15"/>
    <mergeCell ref="C15:K15"/>
    <mergeCell ref="A16:B16"/>
    <mergeCell ref="C16:K16"/>
    <mergeCell ref="A21:B21"/>
    <mergeCell ref="C21:K21"/>
    <mergeCell ref="A22:B22"/>
    <mergeCell ref="C22:K22"/>
    <mergeCell ref="A23:B23"/>
    <mergeCell ref="C23:K23"/>
    <mergeCell ref="A1:K1"/>
    <mergeCell ref="A2:K2"/>
    <mergeCell ref="A3:K3"/>
    <mergeCell ref="A39:K39"/>
    <mergeCell ref="A44:K44"/>
    <mergeCell ref="A17:B17"/>
    <mergeCell ref="C17:K17"/>
    <mergeCell ref="A6:K6"/>
    <mergeCell ref="A13:K13"/>
    <mergeCell ref="A27:K27"/>
    <mergeCell ref="A18:B18"/>
    <mergeCell ref="C18:K18"/>
    <mergeCell ref="A19:B19"/>
    <mergeCell ref="C19:K19"/>
    <mergeCell ref="A20:B20"/>
    <mergeCell ref="C20:K20"/>
    <mergeCell ref="A53:B53"/>
    <mergeCell ref="C53:K53"/>
    <mergeCell ref="A50:B50"/>
    <mergeCell ref="C50:K50"/>
    <mergeCell ref="A51:B51"/>
    <mergeCell ref="C51:K51"/>
    <mergeCell ref="A52:B52"/>
    <mergeCell ref="C52:K5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90C4A-78B6-406B-8CFF-FF6AF6432223}">
  <sheetPr>
    <tabColor rgb="FF5B9BD5"/>
  </sheetPr>
  <dimension ref="A1:D37"/>
  <sheetViews>
    <sheetView showGridLines="0" topLeftCell="A15" workbookViewId="0">
      <selection activeCell="C36" sqref="C36"/>
    </sheetView>
  </sheetViews>
  <sheetFormatPr defaultRowHeight="14.5" x14ac:dyDescent="0.35"/>
  <cols>
    <col min="1" max="1" width="5.26953125" style="1" bestFit="1" customWidth="1"/>
    <col min="2" max="2" width="28.90625" style="1" customWidth="1"/>
    <col min="3" max="3" width="83.26953125" style="1" customWidth="1"/>
    <col min="4" max="16384" width="8.7265625" style="1"/>
  </cols>
  <sheetData>
    <row r="1" spans="1:4" ht="23.5" x14ac:dyDescent="0.35">
      <c r="A1" s="291" t="s">
        <v>183</v>
      </c>
      <c r="B1" s="291"/>
      <c r="C1" s="291"/>
      <c r="D1"/>
    </row>
    <row r="2" spans="1:4" x14ac:dyDescent="0.35">
      <c r="A2" s="292" t="s">
        <v>184</v>
      </c>
      <c r="B2" s="292"/>
      <c r="C2" s="292"/>
      <c r="D2"/>
    </row>
    <row r="3" spans="1:4" x14ac:dyDescent="0.35">
      <c r="A3" s="293" t="s">
        <v>959</v>
      </c>
      <c r="B3" s="293"/>
      <c r="C3" s="293"/>
      <c r="D3"/>
    </row>
    <row r="4" spans="1:4" x14ac:dyDescent="0.35">
      <c r="A4" s="12"/>
      <c r="B4" s="12"/>
      <c r="C4" s="12"/>
      <c r="D4"/>
    </row>
    <row r="5" spans="1:4" ht="16" x14ac:dyDescent="0.35">
      <c r="A5" s="294" t="s">
        <v>185</v>
      </c>
      <c r="B5" s="294"/>
      <c r="C5" s="294"/>
      <c r="D5"/>
    </row>
    <row r="6" spans="1:4" x14ac:dyDescent="0.35">
      <c r="A6" s="17" t="s">
        <v>186</v>
      </c>
      <c r="B6" s="17" t="s">
        <v>187</v>
      </c>
      <c r="C6" s="17" t="s">
        <v>188</v>
      </c>
      <c r="D6"/>
    </row>
    <row r="7" spans="1:4" x14ac:dyDescent="0.35">
      <c r="A7" s="361">
        <v>1</v>
      </c>
      <c r="B7" s="211" t="s">
        <v>189</v>
      </c>
      <c r="C7" s="10" t="s">
        <v>593</v>
      </c>
      <c r="D7"/>
    </row>
    <row r="8" spans="1:4" x14ac:dyDescent="0.35">
      <c r="A8" s="362">
        <v>2</v>
      </c>
      <c r="B8" s="212" t="s">
        <v>190</v>
      </c>
      <c r="C8" s="206" t="s">
        <v>594</v>
      </c>
      <c r="D8"/>
    </row>
    <row r="9" spans="1:4" x14ac:dyDescent="0.35">
      <c r="A9" s="362">
        <v>3</v>
      </c>
      <c r="B9" s="212" t="s">
        <v>191</v>
      </c>
      <c r="C9" s="206" t="s">
        <v>595</v>
      </c>
      <c r="D9"/>
    </row>
    <row r="10" spans="1:4" x14ac:dyDescent="0.35">
      <c r="A10" s="362">
        <v>4</v>
      </c>
      <c r="B10" s="212" t="s">
        <v>596</v>
      </c>
      <c r="C10" s="206" t="s">
        <v>597</v>
      </c>
      <c r="D10"/>
    </row>
    <row r="11" spans="1:4" x14ac:dyDescent="0.35">
      <c r="A11" s="362">
        <v>5</v>
      </c>
      <c r="B11" s="212" t="s">
        <v>192</v>
      </c>
      <c r="C11" s="206" t="s">
        <v>598</v>
      </c>
      <c r="D11"/>
    </row>
    <row r="12" spans="1:4" x14ac:dyDescent="0.35">
      <c r="A12" s="362">
        <v>6</v>
      </c>
      <c r="B12" s="212" t="s">
        <v>193</v>
      </c>
      <c r="C12" s="206" t="s">
        <v>599</v>
      </c>
      <c r="D12"/>
    </row>
    <row r="13" spans="1:4" x14ac:dyDescent="0.35">
      <c r="A13" s="362">
        <v>7</v>
      </c>
      <c r="B13" s="212" t="s">
        <v>194</v>
      </c>
      <c r="C13" s="206" t="s">
        <v>600</v>
      </c>
      <c r="D13"/>
    </row>
    <row r="14" spans="1:4" x14ac:dyDescent="0.35">
      <c r="A14" s="362">
        <v>8</v>
      </c>
      <c r="B14" s="212" t="s">
        <v>195</v>
      </c>
      <c r="C14" s="206" t="s">
        <v>601</v>
      </c>
      <c r="D14"/>
    </row>
    <row r="15" spans="1:4" x14ac:dyDescent="0.35">
      <c r="A15" s="362">
        <v>9</v>
      </c>
      <c r="B15" s="212" t="s">
        <v>196</v>
      </c>
      <c r="C15" s="206" t="s">
        <v>602</v>
      </c>
      <c r="D15"/>
    </row>
    <row r="16" spans="1:4" x14ac:dyDescent="0.35">
      <c r="A16" s="362">
        <v>10</v>
      </c>
      <c r="B16" s="212" t="s">
        <v>197</v>
      </c>
      <c r="C16" s="206" t="s">
        <v>603</v>
      </c>
      <c r="D16"/>
    </row>
    <row r="17" spans="1:4" x14ac:dyDescent="0.35">
      <c r="A17" s="362">
        <v>11</v>
      </c>
      <c r="B17" s="212" t="s">
        <v>198</v>
      </c>
      <c r="C17" s="206" t="s">
        <v>604</v>
      </c>
      <c r="D17"/>
    </row>
    <row r="18" spans="1:4" x14ac:dyDescent="0.35">
      <c r="A18" s="362">
        <v>12</v>
      </c>
      <c r="B18" s="212" t="s">
        <v>199</v>
      </c>
      <c r="C18" s="206" t="s">
        <v>605</v>
      </c>
      <c r="D18"/>
    </row>
    <row r="19" spans="1:4" x14ac:dyDescent="0.35">
      <c r="A19" s="362">
        <v>13</v>
      </c>
      <c r="B19" s="212" t="s">
        <v>200</v>
      </c>
      <c r="C19" s="206" t="s">
        <v>606</v>
      </c>
      <c r="D19"/>
    </row>
    <row r="20" spans="1:4" x14ac:dyDescent="0.35">
      <c r="A20" s="362">
        <v>14</v>
      </c>
      <c r="B20" s="212" t="s">
        <v>201</v>
      </c>
      <c r="C20" s="206" t="s">
        <v>607</v>
      </c>
      <c r="D20"/>
    </row>
    <row r="21" spans="1:4" x14ac:dyDescent="0.35">
      <c r="A21" s="362">
        <v>15</v>
      </c>
      <c r="B21" s="212" t="s">
        <v>202</v>
      </c>
      <c r="C21" s="206" t="s">
        <v>1143</v>
      </c>
      <c r="D21"/>
    </row>
    <row r="22" spans="1:4" x14ac:dyDescent="0.35">
      <c r="A22" s="362">
        <v>16</v>
      </c>
      <c r="B22" s="212" t="s">
        <v>473</v>
      </c>
      <c r="C22" s="206" t="s">
        <v>608</v>
      </c>
      <c r="D22"/>
    </row>
    <row r="23" spans="1:4" x14ac:dyDescent="0.35">
      <c r="A23" s="363">
        <v>17</v>
      </c>
      <c r="B23" s="213" t="s">
        <v>203</v>
      </c>
      <c r="C23" s="207" t="s">
        <v>896</v>
      </c>
      <c r="D23"/>
    </row>
    <row r="24" spans="1:4" x14ac:dyDescent="0.35">
      <c r="A24" s="363">
        <v>18</v>
      </c>
      <c r="B24" s="213" t="s">
        <v>850</v>
      </c>
      <c r="C24" t="s">
        <v>897</v>
      </c>
      <c r="D24"/>
    </row>
    <row r="25" spans="1:4" x14ac:dyDescent="0.35">
      <c r="A25" s="363">
        <v>19</v>
      </c>
      <c r="B25" s="213" t="s">
        <v>682</v>
      </c>
      <c r="C25" t="s">
        <v>851</v>
      </c>
      <c r="D25"/>
    </row>
    <row r="26" spans="1:4" x14ac:dyDescent="0.35">
      <c r="A26" s="363">
        <v>20</v>
      </c>
      <c r="B26" s="213" t="s">
        <v>852</v>
      </c>
      <c r="C26" t="s">
        <v>853</v>
      </c>
      <c r="D26"/>
    </row>
    <row r="27" spans="1:4" x14ac:dyDescent="0.35">
      <c r="A27" s="363">
        <v>21</v>
      </c>
      <c r="B27" s="213" t="s">
        <v>854</v>
      </c>
      <c r="C27" t="s">
        <v>855</v>
      </c>
      <c r="D27"/>
    </row>
    <row r="28" spans="1:4" x14ac:dyDescent="0.35">
      <c r="A28" s="363">
        <v>22</v>
      </c>
      <c r="B28" s="213" t="s">
        <v>856</v>
      </c>
      <c r="C28" t="s">
        <v>857</v>
      </c>
      <c r="D28"/>
    </row>
    <row r="29" spans="1:4" x14ac:dyDescent="0.35">
      <c r="A29" s="363">
        <v>23</v>
      </c>
      <c r="B29" s="213" t="s">
        <v>858</v>
      </c>
      <c r="C29" t="s">
        <v>859</v>
      </c>
      <c r="D29"/>
    </row>
    <row r="30" spans="1:4" x14ac:dyDescent="0.35">
      <c r="A30" s="363">
        <v>24</v>
      </c>
      <c r="B30" s="213" t="s">
        <v>957</v>
      </c>
      <c r="C30" t="s">
        <v>958</v>
      </c>
      <c r="D30"/>
    </row>
    <row r="31" spans="1:4" x14ac:dyDescent="0.35">
      <c r="A31" s="395"/>
      <c r="B31" s="338"/>
      <c r="C31"/>
      <c r="D31"/>
    </row>
    <row r="32" spans="1:4" x14ac:dyDescent="0.35">
      <c r="A32" s="396" t="s">
        <v>1201</v>
      </c>
      <c r="B32" s="396"/>
      <c r="C32" s="396"/>
      <c r="D32"/>
    </row>
    <row r="33" spans="1:3" x14ac:dyDescent="0.35">
      <c r="A33" s="396"/>
      <c r="B33" s="396"/>
      <c r="C33" s="396"/>
    </row>
    <row r="34" spans="1:3" x14ac:dyDescent="0.35">
      <c r="A34"/>
      <c r="B34"/>
      <c r="C34"/>
    </row>
    <row r="35" spans="1:3" x14ac:dyDescent="0.35">
      <c r="A35"/>
      <c r="B35"/>
      <c r="C35"/>
    </row>
    <row r="36" spans="1:3" x14ac:dyDescent="0.35">
      <c r="A36"/>
      <c r="B36"/>
      <c r="C36"/>
    </row>
    <row r="37" spans="1:3" x14ac:dyDescent="0.35">
      <c r="A37"/>
      <c r="B37"/>
      <c r="C37"/>
    </row>
  </sheetData>
  <mergeCells count="5">
    <mergeCell ref="A32:C33"/>
    <mergeCell ref="A1:C1"/>
    <mergeCell ref="A2:C2"/>
    <mergeCell ref="A3:C3"/>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A1997-6BE8-4FE4-A7FA-462D6E4F1E0F}">
  <sheetPr>
    <tabColor rgb="FF5B9BD5"/>
  </sheetPr>
  <dimension ref="A1:F76"/>
  <sheetViews>
    <sheetView showGridLines="0" topLeftCell="A50" workbookViewId="0">
      <selection activeCell="A53" sqref="A53:XFD53"/>
    </sheetView>
  </sheetViews>
  <sheetFormatPr defaultColWidth="34.54296875" defaultRowHeight="20" customHeight="1" x14ac:dyDescent="0.35"/>
  <cols>
    <col min="1" max="1" width="38.1796875" style="1" customWidth="1"/>
    <col min="2" max="2" width="15.1796875" style="1" bestFit="1" customWidth="1"/>
    <col min="3" max="4" width="7.90625" style="1" bestFit="1" customWidth="1"/>
    <col min="5" max="5" width="6.453125" style="1" bestFit="1" customWidth="1"/>
    <col min="6" max="6" width="34.54296875" style="1" customWidth="1"/>
    <col min="7" max="16384" width="34.54296875" style="1"/>
  </cols>
  <sheetData>
    <row r="1" spans="1:6" ht="48" customHeight="1" x14ac:dyDescent="0.35">
      <c r="A1" s="291" t="s">
        <v>204</v>
      </c>
      <c r="B1" s="291"/>
      <c r="C1" s="291"/>
      <c r="D1" s="291"/>
      <c r="E1" s="291"/>
      <c r="F1" s="291"/>
    </row>
    <row r="2" spans="1:6" ht="24" customHeight="1" x14ac:dyDescent="0.35">
      <c r="A2" s="292" t="s">
        <v>205</v>
      </c>
      <c r="B2" s="292"/>
      <c r="C2" s="292"/>
      <c r="D2" s="292"/>
      <c r="E2" s="292"/>
      <c r="F2" s="292"/>
    </row>
    <row r="3" spans="1:6" ht="24" customHeight="1" x14ac:dyDescent="0.35">
      <c r="A3" s="293" t="s">
        <v>206</v>
      </c>
      <c r="B3" s="293"/>
      <c r="C3" s="293"/>
      <c r="D3" s="293"/>
      <c r="E3" s="293"/>
      <c r="F3" s="293"/>
    </row>
    <row r="4" spans="1:6" ht="20" customHeight="1" x14ac:dyDescent="0.35">
      <c r="A4" s="12"/>
      <c r="B4" s="12"/>
      <c r="C4" s="12"/>
      <c r="D4" s="12"/>
      <c r="E4" s="12"/>
      <c r="F4" s="12"/>
    </row>
    <row r="5" spans="1:6" ht="24" customHeight="1" x14ac:dyDescent="0.35">
      <c r="A5" s="294" t="s">
        <v>207</v>
      </c>
      <c r="B5" s="294"/>
      <c r="C5" s="294"/>
      <c r="D5" s="294"/>
      <c r="E5" s="294"/>
      <c r="F5" s="294"/>
    </row>
    <row r="6" spans="1:6" ht="25" customHeight="1" x14ac:dyDescent="0.35">
      <c r="A6" s="300" t="s">
        <v>956</v>
      </c>
      <c r="B6" s="300"/>
      <c r="C6" s="300"/>
      <c r="D6" s="300"/>
      <c r="E6" s="300"/>
      <c r="F6" s="300"/>
    </row>
    <row r="7" spans="1:6" ht="25" customHeight="1" x14ac:dyDescent="0.35">
      <c r="A7" s="300"/>
      <c r="B7" s="300"/>
      <c r="C7" s="300"/>
      <c r="D7" s="300"/>
      <c r="E7" s="300"/>
      <c r="F7" s="300"/>
    </row>
    <row r="8" spans="1:6" ht="25" customHeight="1" x14ac:dyDescent="0.35">
      <c r="A8" s="300"/>
      <c r="B8" s="300"/>
      <c r="C8" s="300"/>
      <c r="D8" s="300"/>
      <c r="E8" s="300"/>
      <c r="F8" s="300"/>
    </row>
    <row r="9" spans="1:6" ht="20" customHeight="1" x14ac:dyDescent="0.35">
      <c r="A9" s="12"/>
      <c r="B9" s="12"/>
      <c r="C9" s="12"/>
      <c r="D9" s="12"/>
      <c r="E9" s="12"/>
      <c r="F9" s="12"/>
    </row>
    <row r="10" spans="1:6" ht="20" customHeight="1" x14ac:dyDescent="0.35">
      <c r="A10" s="17" t="s">
        <v>146</v>
      </c>
      <c r="B10" s="17" t="s">
        <v>904</v>
      </c>
      <c r="C10" s="17" t="s">
        <v>1</v>
      </c>
      <c r="D10" s="17" t="s">
        <v>2</v>
      </c>
      <c r="E10" s="17" t="s">
        <v>208</v>
      </c>
      <c r="F10" s="17" t="s">
        <v>209</v>
      </c>
    </row>
    <row r="11" spans="1:6" ht="24" customHeight="1" x14ac:dyDescent="0.35">
      <c r="A11" s="294" t="s">
        <v>210</v>
      </c>
      <c r="B11" s="294"/>
      <c r="C11" s="294"/>
      <c r="D11" s="294"/>
      <c r="E11" s="294"/>
      <c r="F11" s="294"/>
    </row>
    <row r="12" spans="1:6" ht="20" customHeight="1" x14ac:dyDescent="0.35">
      <c r="A12" s="34" t="s">
        <v>214</v>
      </c>
      <c r="B12" s="51">
        <f>'📄 INCOME_STATEMENT'!B15</f>
        <v>45430</v>
      </c>
      <c r="C12" s="51">
        <f>'📄 INCOME_STATEMENT'!C15</f>
        <v>45874</v>
      </c>
      <c r="D12" s="51">
        <f>'📄 INCOME_STATEMENT'!D15</f>
        <v>48831</v>
      </c>
      <c r="E12" s="36" t="s">
        <v>3</v>
      </c>
      <c r="F12" s="32" t="s">
        <v>232</v>
      </c>
    </row>
    <row r="13" spans="1:6" ht="20" customHeight="1" x14ac:dyDescent="0.35">
      <c r="A13" s="41" t="s">
        <v>215</v>
      </c>
      <c r="B13" s="52">
        <f>'📄 INCOME_STATEMENT'!B10</f>
        <v>20933</v>
      </c>
      <c r="C13" s="52">
        <f>'📄 INCOME_STATEMENT'!C10</f>
        <v>19058</v>
      </c>
      <c r="D13" s="52">
        <f>'📄 INCOME_STATEMENT'!D10</f>
        <v>19524</v>
      </c>
      <c r="E13" s="43" t="s">
        <v>233</v>
      </c>
      <c r="F13" s="58" t="s">
        <v>234</v>
      </c>
    </row>
    <row r="14" spans="1:6" ht="20" customHeight="1" x14ac:dyDescent="0.35">
      <c r="A14" s="41" t="s">
        <v>216</v>
      </c>
      <c r="B14" s="52">
        <f>'📄 INCOME_STATEMENT'!B11</f>
        <v>10165</v>
      </c>
      <c r="C14" s="52">
        <f>'📄 INCOME_STATEMENT'!C11</f>
        <v>9821</v>
      </c>
      <c r="D14" s="52">
        <f>'📄 INCOME_STATEMENT'!D11</f>
        <v>10701</v>
      </c>
      <c r="E14" s="43" t="s">
        <v>233</v>
      </c>
      <c r="F14" s="56" t="s">
        <v>235</v>
      </c>
    </row>
    <row r="15" spans="1:6" ht="20" customHeight="1" x14ac:dyDescent="0.35">
      <c r="A15" s="41" t="s">
        <v>217</v>
      </c>
      <c r="B15" s="52">
        <f>'📄 INCOME_STATEMENT'!B22</f>
        <v>29864</v>
      </c>
      <c r="C15" s="52">
        <f>'📄 INCOME_STATEMENT'!C22</f>
        <v>30956</v>
      </c>
      <c r="D15" s="52">
        <f>'📄 INCOME_STATEMENT'!D22</f>
        <v>30193</v>
      </c>
      <c r="E15" s="43" t="s">
        <v>236</v>
      </c>
      <c r="F15" s="56" t="s">
        <v>237</v>
      </c>
    </row>
    <row r="16" spans="1:6" ht="20" customHeight="1" x14ac:dyDescent="0.35">
      <c r="A16" s="41" t="s">
        <v>218</v>
      </c>
      <c r="B16" s="52">
        <f>'📄 INCOME_STATEMENT'!B27</f>
        <v>3003</v>
      </c>
      <c r="C16" s="52">
        <f>'📄 INCOME_STATEMENT'!C27</f>
        <v>2907</v>
      </c>
      <c r="D16" s="52">
        <f>'📄 INCOME_STATEMENT'!D27</f>
        <v>2999</v>
      </c>
      <c r="E16" s="43" t="s">
        <v>236</v>
      </c>
      <c r="F16" s="56" t="s">
        <v>951</v>
      </c>
    </row>
    <row r="17" spans="1:6" ht="20" customHeight="1" x14ac:dyDescent="0.35">
      <c r="A17" s="41" t="s">
        <v>952</v>
      </c>
      <c r="B17" s="52">
        <f>'📄 INCOME_STATEMENT'!B28</f>
        <v>0</v>
      </c>
      <c r="C17" s="52">
        <f>'📄 INCOME_STATEMENT'!C28</f>
        <v>775</v>
      </c>
      <c r="D17" s="52">
        <f>'📄 INCOME_STATEMENT'!D28</f>
        <v>202</v>
      </c>
      <c r="E17" s="43" t="s">
        <v>241</v>
      </c>
      <c r="F17" s="56" t="s">
        <v>953</v>
      </c>
    </row>
    <row r="18" spans="1:6" ht="20" customHeight="1" x14ac:dyDescent="0.35">
      <c r="A18" s="28" t="s">
        <v>954</v>
      </c>
      <c r="B18" s="53">
        <f>'📄 INCOME_STATEMENT'!B44</f>
        <v>9848</v>
      </c>
      <c r="C18" s="53">
        <f>'📄 INCOME_STATEMENT'!C44</f>
        <v>10975</v>
      </c>
      <c r="D18" s="53">
        <f>'📄 INCOME_STATEMENT'!D44</f>
        <v>11688</v>
      </c>
      <c r="E18" s="24" t="s">
        <v>3</v>
      </c>
      <c r="F18" s="57" t="s">
        <v>238</v>
      </c>
    </row>
    <row r="19" spans="1:6" ht="20" customHeight="1" x14ac:dyDescent="0.35">
      <c r="A19" s="12"/>
      <c r="B19" s="12"/>
      <c r="C19" s="12"/>
      <c r="D19" s="12"/>
      <c r="E19" s="12"/>
      <c r="F19" s="12"/>
    </row>
    <row r="20" spans="1:6" ht="24" customHeight="1" x14ac:dyDescent="0.35">
      <c r="A20" s="294" t="s">
        <v>211</v>
      </c>
      <c r="B20" s="294"/>
      <c r="C20" s="294"/>
      <c r="D20" s="294"/>
      <c r="E20" s="294"/>
      <c r="F20" s="294"/>
    </row>
    <row r="21" spans="1:6" ht="20" customHeight="1" x14ac:dyDescent="0.35">
      <c r="A21" s="34" t="s">
        <v>220</v>
      </c>
      <c r="B21" s="46">
        <f>'📈 RATIOS_PROFITABILITY'!C8</f>
        <v>8.2367651794264876E-2</v>
      </c>
      <c r="C21" s="46">
        <f>'📈 RATIOS_PROFITABILITY'!D8</f>
        <v>8.9599516693267586E-2</v>
      </c>
      <c r="D21" s="46">
        <f>'📈 RATIOS_PROFITABILITY'!E8</f>
        <v>9.2806466597056519E-2</v>
      </c>
      <c r="E21" s="36" t="s">
        <v>3</v>
      </c>
      <c r="F21" s="59" t="s">
        <v>239</v>
      </c>
    </row>
    <row r="22" spans="1:6" ht="20" customHeight="1" x14ac:dyDescent="0.35">
      <c r="A22" s="41" t="s">
        <v>221</v>
      </c>
      <c r="B22" s="48">
        <f>'📈 RATIOS_PROFITABILITY'!C9</f>
        <v>8.9017847861555921E-2</v>
      </c>
      <c r="C22" s="48">
        <f>'📈 RATIOS_PROFITABILITY'!D9</f>
        <v>9.7036303513642549E-2</v>
      </c>
      <c r="D22" s="48">
        <f>'📈 RATIOS_PROFITABILITY'!E9</f>
        <v>0.10065189497343334</v>
      </c>
      <c r="E22" s="43" t="s">
        <v>3</v>
      </c>
      <c r="F22" s="58" t="s">
        <v>955</v>
      </c>
    </row>
    <row r="23" spans="1:6" ht="20" customHeight="1" x14ac:dyDescent="0.35">
      <c r="A23" s="41" t="s">
        <v>222</v>
      </c>
      <c r="B23" s="48">
        <f>'📈 RATIOS_PROFITABILITY'!C10</f>
        <v>3.7174945717331495E-3</v>
      </c>
      <c r="C23" s="48">
        <f>'📈 RATIOS_PROFITABILITY'!D10</f>
        <v>4.1767779896929678E-3</v>
      </c>
      <c r="D23" s="48">
        <f>'📈 RATIOS_PROFITABILITY'!E10</f>
        <v>4.4135580970269088E-3</v>
      </c>
      <c r="E23" s="43" t="s">
        <v>3</v>
      </c>
      <c r="F23" s="56" t="s">
        <v>240</v>
      </c>
    </row>
    <row r="24" spans="1:6" ht="20" customHeight="1" x14ac:dyDescent="0.35">
      <c r="A24" s="41" t="s">
        <v>4</v>
      </c>
      <c r="B24" s="48">
        <f>'📈 RATIOS_PROFITABILITY'!C11</f>
        <v>2.0698127992603926E-2</v>
      </c>
      <c r="C24" s="48">
        <f>'📈 RATIOS_PROFITABILITY'!D11</f>
        <v>1.8198155357512874E-2</v>
      </c>
      <c r="D24" s="48">
        <f>'📈 RATIOS_PROFITABILITY'!E11</f>
        <v>1.7711550472793349E-2</v>
      </c>
      <c r="E24" s="43" t="s">
        <v>241</v>
      </c>
      <c r="F24" s="58" t="s">
        <v>242</v>
      </c>
    </row>
    <row r="25" spans="1:6" ht="20" customHeight="1" x14ac:dyDescent="0.35">
      <c r="A25" s="41" t="s">
        <v>134</v>
      </c>
      <c r="B25" s="48">
        <f>'📈 RATIOS_PROFITABILITY'!C14</f>
        <v>0.21677305745102354</v>
      </c>
      <c r="C25" s="48">
        <f>'📈 RATIOS_PROFITABILITY'!D14</f>
        <v>0.23924227231111306</v>
      </c>
      <c r="D25" s="48">
        <f>'📈 RATIOS_PROFITABILITY'!E14</f>
        <v>0.23935614671008171</v>
      </c>
      <c r="E25" s="43" t="s">
        <v>3</v>
      </c>
      <c r="F25" s="56" t="s">
        <v>243</v>
      </c>
    </row>
    <row r="26" spans="1:6" ht="20" customHeight="1" x14ac:dyDescent="0.35">
      <c r="A26" s="28" t="s">
        <v>223</v>
      </c>
      <c r="B26" s="54">
        <f>'📈 RATIOS_PROFITABILITY'!C15</f>
        <v>7.52</v>
      </c>
      <c r="C26" s="54">
        <f>'📈 RATIOS_PROFITABILITY'!D15</f>
        <v>8.58</v>
      </c>
      <c r="D26" s="54">
        <f>'📈 RATIOS_PROFITABILITY'!E15</f>
        <v>9.57</v>
      </c>
      <c r="E26" s="24" t="s">
        <v>3</v>
      </c>
      <c r="F26" s="57" t="s">
        <v>244</v>
      </c>
    </row>
    <row r="27" spans="1:6" ht="20" customHeight="1" x14ac:dyDescent="0.35">
      <c r="A27" s="12"/>
      <c r="B27" s="12"/>
      <c r="C27" s="12"/>
      <c r="D27" s="12"/>
      <c r="E27" s="12"/>
      <c r="F27" s="12"/>
    </row>
    <row r="28" spans="1:6" ht="24" customHeight="1" x14ac:dyDescent="0.35">
      <c r="A28" s="294" t="s">
        <v>212</v>
      </c>
      <c r="B28" s="294"/>
      <c r="C28" s="294"/>
      <c r="D28" s="294"/>
      <c r="E28" s="294"/>
      <c r="F28" s="294"/>
    </row>
    <row r="29" spans="1:6" ht="26" x14ac:dyDescent="0.35">
      <c r="A29" s="34" t="s">
        <v>224</v>
      </c>
      <c r="B29" s="46">
        <f>'📈 RATIOS_CAPITAL'!C8</f>
        <v>0.12330000000000001</v>
      </c>
      <c r="C29" s="46">
        <f>'📈 RATIOS_CAPITAL'!D8</f>
        <v>0.13200000000000001</v>
      </c>
      <c r="D29" s="46">
        <f>'📈 RATIOS_CAPITAL'!E8</f>
        <v>0.12870000000000001</v>
      </c>
      <c r="E29" s="36" t="s">
        <v>236</v>
      </c>
      <c r="F29" s="32" t="s">
        <v>821</v>
      </c>
    </row>
    <row r="30" spans="1:6" ht="20" customHeight="1" x14ac:dyDescent="0.35">
      <c r="A30" s="41" t="s">
        <v>225</v>
      </c>
      <c r="B30" s="48">
        <f>'📈 RATIOS_CAPITAL'!C9</f>
        <v>0.1389</v>
      </c>
      <c r="C30" s="48">
        <f>'📈 RATIOS_CAPITAL'!D9</f>
        <v>0.15279999999999999</v>
      </c>
      <c r="D30" s="48">
        <f>'📈 RATIOS_CAPITAL'!E9</f>
        <v>0.14929999999999999</v>
      </c>
      <c r="E30" s="43" t="s">
        <v>236</v>
      </c>
      <c r="F30" s="56" t="s">
        <v>1144</v>
      </c>
    </row>
    <row r="31" spans="1:6" ht="20" customHeight="1" x14ac:dyDescent="0.35">
      <c r="A31" s="41" t="s">
        <v>139</v>
      </c>
      <c r="B31" s="48">
        <f>'📈 RATIOS_CAPITAL'!C10</f>
        <v>0.16189999999999999</v>
      </c>
      <c r="C31" s="48">
        <f>'📈 RATIOS_CAPITAL'!D10</f>
        <v>0.17299999999999999</v>
      </c>
      <c r="D31" s="48">
        <f>'📈 RATIOS_CAPITAL'!E10</f>
        <v>0.17130000000000001</v>
      </c>
      <c r="E31" s="43" t="s">
        <v>236</v>
      </c>
      <c r="F31" s="56" t="s">
        <v>1144</v>
      </c>
    </row>
    <row r="32" spans="1:6" ht="20" customHeight="1" x14ac:dyDescent="0.35">
      <c r="A32" s="41" t="s">
        <v>5</v>
      </c>
      <c r="B32" s="48">
        <f>'📈 RATIOS_CAPITAL'!C11</f>
        <v>4.36E-2</v>
      </c>
      <c r="C32" s="48">
        <f>'📈 RATIOS_CAPITAL'!D11</f>
        <v>4.58E-2</v>
      </c>
      <c r="D32" s="48">
        <f>'📈 RATIOS_CAPITAL'!E11</f>
        <v>4.6199999999999998E-2</v>
      </c>
      <c r="E32" s="43" t="s">
        <v>3</v>
      </c>
      <c r="F32" s="56" t="s">
        <v>1145</v>
      </c>
    </row>
    <row r="33" spans="1:6" ht="20" customHeight="1" x14ac:dyDescent="0.35">
      <c r="A33" s="41" t="s">
        <v>226</v>
      </c>
      <c r="B33" s="50">
        <f>'📈 RATIOS_CAPITAL'!B21</f>
        <v>744851</v>
      </c>
      <c r="C33" s="50">
        <f>'📈 RATIOS_CAPITAL'!C21</f>
        <v>703694</v>
      </c>
      <c r="D33" s="50">
        <f>'📈 RATIOS_CAPITAL'!D21</f>
        <v>762247</v>
      </c>
      <c r="E33" s="43" t="s">
        <v>233</v>
      </c>
      <c r="F33" s="58" t="s">
        <v>245</v>
      </c>
    </row>
    <row r="34" spans="1:6" ht="20" customHeight="1" x14ac:dyDescent="0.35">
      <c r="A34" s="41" t="s">
        <v>227</v>
      </c>
      <c r="B34" s="48">
        <f>'📈 RATIOS_LIQUIDITY'!C8</f>
        <v>1.29</v>
      </c>
      <c r="C34" s="48">
        <f>'📈 RATIOS_LIQUIDITY'!D8</f>
        <v>1.48</v>
      </c>
      <c r="D34" s="48">
        <f>'📈 RATIOS_LIQUIDITY'!E8</f>
        <v>1.37</v>
      </c>
      <c r="E34" s="43" t="s">
        <v>236</v>
      </c>
      <c r="F34" s="56" t="s">
        <v>246</v>
      </c>
    </row>
    <row r="35" spans="1:6" ht="20" customHeight="1" x14ac:dyDescent="0.35">
      <c r="A35" s="41" t="s">
        <v>136</v>
      </c>
      <c r="B35" s="48">
        <f>'📈 RATIOS_LIQUIDITY'!C9</f>
        <v>1.1505000000000001</v>
      </c>
      <c r="C35" s="48">
        <f>'📈 RATIOS_LIQUIDITY'!D9</f>
        <v>1.1592</v>
      </c>
      <c r="D35" s="48">
        <f>'📈 RATIOS_LIQUIDITY'!E9</f>
        <v>1.1174999999999999</v>
      </c>
      <c r="E35" s="43" t="s">
        <v>247</v>
      </c>
      <c r="F35" s="56" t="s">
        <v>246</v>
      </c>
    </row>
    <row r="36" spans="1:6" ht="20" customHeight="1" x14ac:dyDescent="0.35">
      <c r="A36" s="28" t="s">
        <v>228</v>
      </c>
      <c r="B36" s="47">
        <f>'📈 RATIOS_LIQUIDITY'!C11</f>
        <v>0.8501710222447959</v>
      </c>
      <c r="C36" s="47">
        <f>'📈 RATIOS_LIQUIDITY'!D11</f>
        <v>0.86915266719201578</v>
      </c>
      <c r="D36" s="47">
        <f>'📈 RATIOS_LIQUIDITY'!E11</f>
        <v>0.86982162752921421</v>
      </c>
      <c r="E36" s="24" t="s">
        <v>247</v>
      </c>
      <c r="F36" s="57" t="s">
        <v>992</v>
      </c>
    </row>
    <row r="37" spans="1:6" ht="20" customHeight="1" x14ac:dyDescent="0.35">
      <c r="A37" s="12"/>
      <c r="B37" s="12"/>
      <c r="C37" s="12"/>
      <c r="D37" s="12"/>
      <c r="E37" s="12"/>
      <c r="F37" s="12"/>
    </row>
    <row r="38" spans="1:6" ht="24" customHeight="1" x14ac:dyDescent="0.35">
      <c r="A38" s="294" t="s">
        <v>213</v>
      </c>
      <c r="B38" s="294"/>
      <c r="C38" s="294"/>
      <c r="D38" s="294"/>
      <c r="E38" s="294"/>
      <c r="F38" s="294"/>
    </row>
    <row r="39" spans="1:6" ht="20" customHeight="1" x14ac:dyDescent="0.35">
      <c r="A39" s="34" t="s">
        <v>151</v>
      </c>
      <c r="B39" s="46">
        <f>'📈 RATIOS_ASSET_QUALITY'!C8</f>
        <v>1.7000000000000001E-2</v>
      </c>
      <c r="C39" s="46">
        <f>'📈 RATIOS_ASSET_QUALITY'!D8</f>
        <v>1.7000000000000001E-2</v>
      </c>
      <c r="D39" s="46">
        <f>'📈 RATIOS_ASSET_QUALITY'!E8</f>
        <v>1.6E-2</v>
      </c>
      <c r="E39" s="36" t="s">
        <v>241</v>
      </c>
      <c r="F39" s="32" t="s">
        <v>248</v>
      </c>
    </row>
    <row r="40" spans="1:6" ht="20" customHeight="1" x14ac:dyDescent="0.35">
      <c r="A40" s="41" t="s">
        <v>140</v>
      </c>
      <c r="B40" s="48">
        <f>'📈 RATIOS_ASSET_QUALITY'!C9</f>
        <v>0.72499999999999998</v>
      </c>
      <c r="C40" s="48">
        <f>'📈 RATIOS_ASSET_QUALITY'!D9</f>
        <v>0.71699999999999997</v>
      </c>
      <c r="D40" s="48">
        <f>'📈 RATIOS_ASSET_QUALITY'!E9</f>
        <v>0.69699999999999995</v>
      </c>
      <c r="E40" s="43" t="s">
        <v>241</v>
      </c>
      <c r="F40" s="58" t="s">
        <v>249</v>
      </c>
    </row>
    <row r="41" spans="1:6" ht="20" customHeight="1" x14ac:dyDescent="0.35">
      <c r="A41" s="41" t="s">
        <v>152</v>
      </c>
      <c r="B41" s="244">
        <f>'📈 RATIOS_ASSET_QUALITY'!C11</f>
        <v>31</v>
      </c>
      <c r="C41" s="244">
        <f>'📈 RATIOS_ASSET_QUALITY'!D11</f>
        <v>32</v>
      </c>
      <c r="D41" s="244">
        <f>'📈 RATIOS_ASSET_QUALITY'!E11</f>
        <v>33</v>
      </c>
      <c r="E41" s="43" t="s">
        <v>3</v>
      </c>
      <c r="F41" s="56" t="s">
        <v>950</v>
      </c>
    </row>
    <row r="42" spans="1:6" ht="20" customHeight="1" x14ac:dyDescent="0.35">
      <c r="A42" s="41" t="s">
        <v>141</v>
      </c>
      <c r="B42" s="50">
        <f>'📈 RATIOS_ASSET_QUALITY'!C12</f>
        <v>2035</v>
      </c>
      <c r="C42" s="50">
        <f>'📈 RATIOS_ASSET_QUALITY'!D12</f>
        <v>1938</v>
      </c>
      <c r="D42" s="50">
        <f>'📈 RATIOS_ASSET_QUALITY'!E12</f>
        <v>1785</v>
      </c>
      <c r="E42" s="43" t="s">
        <v>241</v>
      </c>
      <c r="F42" s="56" t="s">
        <v>250</v>
      </c>
    </row>
    <row r="43" spans="1:6" ht="20" customHeight="1" x14ac:dyDescent="0.35">
      <c r="A43" s="41" t="s">
        <v>229</v>
      </c>
      <c r="B43" s="50">
        <f>'📈 RATIOS_ASSET_QUALITY'!C13</f>
        <v>2860</v>
      </c>
      <c r="C43" s="50">
        <f>'📈 RATIOS_ASSET_QUALITY'!D13</f>
        <v>2416</v>
      </c>
      <c r="D43" s="50">
        <f>'📈 RATIOS_ASSET_QUALITY'!E13</f>
        <v>1939</v>
      </c>
      <c r="E43" s="43" t="s">
        <v>241</v>
      </c>
      <c r="F43" s="56" t="s">
        <v>251</v>
      </c>
    </row>
    <row r="44" spans="1:6" ht="20" customHeight="1" x14ac:dyDescent="0.35">
      <c r="A44" s="41" t="s">
        <v>230</v>
      </c>
      <c r="B44" s="50">
        <f>'📈 RATIOS_ASSET_QUALITY'!C14</f>
        <v>13616</v>
      </c>
      <c r="C44" s="50">
        <f>'📈 RATIOS_ASSET_QUALITY'!D14</f>
        <v>13361</v>
      </c>
      <c r="D44" s="50">
        <f>'📈 RATIOS_ASSET_QUALITY'!E14</f>
        <v>13457</v>
      </c>
      <c r="E44" s="43" t="s">
        <v>247</v>
      </c>
      <c r="F44" s="56" t="s">
        <v>252</v>
      </c>
    </row>
    <row r="45" spans="1:6" ht="20" customHeight="1" x14ac:dyDescent="0.35">
      <c r="A45" s="41" t="s">
        <v>231</v>
      </c>
      <c r="B45" s="48">
        <f>'📈 RATIOS_EFFICIENCY'!C8</f>
        <v>0.65736297600704385</v>
      </c>
      <c r="C45" s="48">
        <f>'📈 RATIOS_EFFICIENCY'!D8</f>
        <v>0.67480490037929985</v>
      </c>
      <c r="D45" s="48">
        <f>'📈 RATIOS_EFFICIENCY'!E8</f>
        <v>0.61831623354016918</v>
      </c>
      <c r="E45" s="43" t="s">
        <v>236</v>
      </c>
      <c r="F45" s="56" t="s">
        <v>866</v>
      </c>
    </row>
    <row r="46" spans="1:6" ht="20" customHeight="1" x14ac:dyDescent="0.35">
      <c r="A46" s="28" t="s">
        <v>148</v>
      </c>
      <c r="B46" s="55" t="str">
        <f>"n/a"</f>
        <v>n/a</v>
      </c>
      <c r="C46" s="55">
        <f>'📈 RATIOS_EFFICIENCY'!D12</f>
        <v>-2.6792487230540729</v>
      </c>
      <c r="D46" s="55">
        <f>'📈 RATIOS_EFFICIENCY'!E12</f>
        <v>8.9107058096058562</v>
      </c>
      <c r="E46" s="24" t="s">
        <v>3</v>
      </c>
      <c r="F46" s="57" t="s">
        <v>253</v>
      </c>
    </row>
    <row r="47" spans="1:6" ht="20" customHeight="1" x14ac:dyDescent="0.35">
      <c r="A47" s="12"/>
      <c r="B47" s="12"/>
      <c r="C47" s="12"/>
      <c r="D47" s="12"/>
      <c r="E47" s="12"/>
      <c r="F47" s="12"/>
    </row>
    <row r="48" spans="1:6" ht="20" customHeight="1" x14ac:dyDescent="0.35">
      <c r="A48" s="12"/>
      <c r="B48" s="12"/>
      <c r="C48" s="12"/>
      <c r="D48" s="12"/>
      <c r="E48" s="12"/>
      <c r="F48" s="12"/>
    </row>
    <row r="49" spans="1:6" ht="24" customHeight="1" x14ac:dyDescent="0.35">
      <c r="A49" s="294" t="s">
        <v>254</v>
      </c>
      <c r="B49" s="294"/>
      <c r="C49" s="294"/>
      <c r="D49" s="294"/>
      <c r="E49" s="294"/>
      <c r="F49" s="294"/>
    </row>
    <row r="50" spans="1:6" ht="24.5" customHeight="1" x14ac:dyDescent="0.35">
      <c r="A50" s="364">
        <v>1</v>
      </c>
      <c r="B50" s="27" t="s">
        <v>255</v>
      </c>
      <c r="C50" s="299" t="str">
        <f>"Net income reached €"&amp;TEXT(D18,"#,##0")&amp;"M in FY2024, up "&amp;TEXT(D18/B18-1,"0.0%")&amp;" from restated FY2022."</f>
        <v>Net income reached €11,688M in FY2024, up 18.7% from restated FY2022.</v>
      </c>
      <c r="D50" s="296"/>
      <c r="E50" s="296"/>
      <c r="F50" s="296"/>
    </row>
    <row r="51" spans="1:6" ht="31.5" customHeight="1" x14ac:dyDescent="0.35">
      <c r="A51" s="365">
        <v>2</v>
      </c>
      <c r="B51" s="28" t="s">
        <v>256</v>
      </c>
      <c r="C51" s="295" t="s">
        <v>867</v>
      </c>
      <c r="D51" s="296"/>
      <c r="E51" s="296"/>
      <c r="F51" s="296"/>
    </row>
    <row r="52" spans="1:6" ht="45.5" customHeight="1" x14ac:dyDescent="0.35">
      <c r="A52" s="365">
        <v>3</v>
      </c>
      <c r="B52" s="28" t="s">
        <v>257</v>
      </c>
      <c r="C52" s="295" t="s">
        <v>901</v>
      </c>
      <c r="D52" s="296"/>
      <c r="E52" s="296"/>
      <c r="F52" s="296"/>
    </row>
    <row r="53" spans="1:6" ht="29" customHeight="1" x14ac:dyDescent="0.35">
      <c r="A53" s="365">
        <v>4</v>
      </c>
      <c r="B53" s="28" t="s">
        <v>258</v>
      </c>
      <c r="C53" s="295" t="s">
        <v>259</v>
      </c>
      <c r="D53" s="296"/>
      <c r="E53" s="296"/>
      <c r="F53" s="296"/>
    </row>
    <row r="54" spans="1:6" ht="20" customHeight="1" x14ac:dyDescent="0.35">
      <c r="A54" s="366">
        <v>5</v>
      </c>
      <c r="B54" s="41" t="s">
        <v>260</v>
      </c>
      <c r="C54" s="297" t="s">
        <v>261</v>
      </c>
      <c r="D54" s="296"/>
      <c r="E54" s="296"/>
      <c r="F54" s="296"/>
    </row>
    <row r="55" spans="1:6" ht="20" customHeight="1" x14ac:dyDescent="0.35">
      <c r="A55" s="12"/>
      <c r="B55" s="12"/>
      <c r="C55" s="12"/>
      <c r="D55" s="12"/>
      <c r="E55" s="12"/>
      <c r="F55" s="12"/>
    </row>
    <row r="56" spans="1:6" ht="20" customHeight="1" x14ac:dyDescent="0.35">
      <c r="A56" s="12"/>
      <c r="B56" s="12"/>
      <c r="C56" s="12"/>
      <c r="D56" s="12"/>
      <c r="E56" s="12"/>
      <c r="F56" s="12"/>
    </row>
    <row r="57" spans="1:6" ht="24" customHeight="1" x14ac:dyDescent="0.35">
      <c r="A57" s="294" t="s">
        <v>262</v>
      </c>
      <c r="B57" s="294"/>
      <c r="C57" s="294"/>
      <c r="D57" s="294"/>
      <c r="E57" s="294"/>
      <c r="F57" s="294"/>
    </row>
    <row r="58" spans="1:6" ht="25" customHeight="1" x14ac:dyDescent="0.35">
      <c r="A58" s="298" t="s">
        <v>993</v>
      </c>
      <c r="B58" s="298"/>
      <c r="C58" s="298"/>
      <c r="D58" s="298"/>
      <c r="E58" s="298"/>
      <c r="F58" s="298"/>
    </row>
    <row r="59" spans="1:6" ht="25" customHeight="1" x14ac:dyDescent="0.35">
      <c r="A59" s="298"/>
      <c r="B59" s="298"/>
      <c r="C59" s="298"/>
      <c r="D59" s="298"/>
      <c r="E59" s="298"/>
      <c r="F59" s="298"/>
    </row>
    <row r="60" spans="1:6" ht="25" customHeight="1" x14ac:dyDescent="0.35">
      <c r="A60" s="298"/>
      <c r="B60" s="298"/>
      <c r="C60" s="298"/>
      <c r="D60" s="298"/>
      <c r="E60" s="298"/>
      <c r="F60" s="298"/>
    </row>
    <row r="61" spans="1:6" ht="20" customHeight="1" x14ac:dyDescent="0.35">
      <c r="A61"/>
      <c r="B61"/>
      <c r="C61"/>
      <c r="D61"/>
      <c r="E61"/>
      <c r="F61"/>
    </row>
    <row r="62" spans="1:6" ht="20" customHeight="1" x14ac:dyDescent="0.35">
      <c r="A62"/>
      <c r="B62"/>
      <c r="C62"/>
      <c r="D62"/>
      <c r="E62"/>
      <c r="F62"/>
    </row>
    <row r="63" spans="1:6" ht="20" customHeight="1" x14ac:dyDescent="0.35">
      <c r="A63"/>
      <c r="B63"/>
      <c r="C63"/>
      <c r="D63"/>
      <c r="E63"/>
      <c r="F63"/>
    </row>
    <row r="64" spans="1:6" ht="20" customHeight="1" x14ac:dyDescent="0.35">
      <c r="A64"/>
      <c r="B64"/>
      <c r="C64"/>
      <c r="D64"/>
      <c r="E64"/>
      <c r="F64"/>
    </row>
    <row r="65" spans="1:6" ht="20" customHeight="1" x14ac:dyDescent="0.35">
      <c r="A65"/>
      <c r="B65"/>
      <c r="C65"/>
      <c r="D65"/>
      <c r="E65"/>
      <c r="F65"/>
    </row>
    <row r="66" spans="1:6" ht="20" customHeight="1" x14ac:dyDescent="0.35">
      <c r="A66"/>
      <c r="B66"/>
      <c r="C66"/>
      <c r="D66"/>
      <c r="E66"/>
      <c r="F66"/>
    </row>
    <row r="67" spans="1:6" ht="20" customHeight="1" x14ac:dyDescent="0.35">
      <c r="A67"/>
      <c r="B67"/>
      <c r="C67"/>
      <c r="D67"/>
      <c r="E67"/>
      <c r="F67"/>
    </row>
    <row r="68" spans="1:6" ht="20" customHeight="1" x14ac:dyDescent="0.35">
      <c r="A68"/>
      <c r="B68"/>
      <c r="C68"/>
      <c r="D68"/>
      <c r="E68"/>
      <c r="F68"/>
    </row>
    <row r="69" spans="1:6" ht="20" customHeight="1" x14ac:dyDescent="0.35">
      <c r="A69"/>
      <c r="B69"/>
      <c r="C69"/>
      <c r="D69"/>
      <c r="E69"/>
      <c r="F69"/>
    </row>
    <row r="70" spans="1:6" ht="20" customHeight="1" x14ac:dyDescent="0.35">
      <c r="A70"/>
      <c r="B70"/>
      <c r="C70"/>
      <c r="D70"/>
      <c r="E70"/>
      <c r="F70"/>
    </row>
    <row r="71" spans="1:6" ht="20" customHeight="1" x14ac:dyDescent="0.35">
      <c r="A71"/>
      <c r="B71"/>
      <c r="C71"/>
      <c r="D71"/>
      <c r="E71"/>
      <c r="F71"/>
    </row>
    <row r="72" spans="1:6" ht="20" customHeight="1" x14ac:dyDescent="0.35">
      <c r="A72"/>
      <c r="B72"/>
      <c r="C72"/>
      <c r="D72"/>
      <c r="E72"/>
      <c r="F72"/>
    </row>
    <row r="73" spans="1:6" ht="20" customHeight="1" x14ac:dyDescent="0.35">
      <c r="A73"/>
      <c r="B73"/>
      <c r="C73"/>
      <c r="D73"/>
      <c r="E73"/>
      <c r="F73"/>
    </row>
    <row r="74" spans="1:6" ht="20" customHeight="1" x14ac:dyDescent="0.35">
      <c r="A74"/>
      <c r="B74"/>
      <c r="C74"/>
      <c r="D74"/>
      <c r="E74"/>
      <c r="F74"/>
    </row>
    <row r="75" spans="1:6" ht="20" customHeight="1" x14ac:dyDescent="0.35">
      <c r="A75"/>
      <c r="B75"/>
      <c r="C75"/>
      <c r="D75"/>
      <c r="E75"/>
      <c r="F75"/>
    </row>
    <row r="76" spans="1:6" ht="20" customHeight="1" x14ac:dyDescent="0.35">
      <c r="A76"/>
      <c r="B76"/>
      <c r="C76"/>
      <c r="D76"/>
      <c r="E76"/>
      <c r="F76"/>
    </row>
  </sheetData>
  <mergeCells count="17">
    <mergeCell ref="A28:F28"/>
    <mergeCell ref="A1:F1"/>
    <mergeCell ref="A20:F20"/>
    <mergeCell ref="A2:F2"/>
    <mergeCell ref="A3:F3"/>
    <mergeCell ref="A5:F5"/>
    <mergeCell ref="A6:F8"/>
    <mergeCell ref="A11:F11"/>
    <mergeCell ref="C53:F53"/>
    <mergeCell ref="C54:F54"/>
    <mergeCell ref="A57:F57"/>
    <mergeCell ref="A58:F60"/>
    <mergeCell ref="A38:F38"/>
    <mergeCell ref="A49:F49"/>
    <mergeCell ref="C50:F50"/>
    <mergeCell ref="C51:F51"/>
    <mergeCell ref="C52:F5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42128-CB6A-4BEE-A2A8-028166D5D134}">
  <sheetPr>
    <tabColor rgb="FF5B9BD5"/>
    <pageSetUpPr fitToPage="1"/>
  </sheetPr>
  <dimension ref="A1:H77"/>
  <sheetViews>
    <sheetView showGridLines="0" workbookViewId="0">
      <selection activeCell="E12" sqref="E12"/>
    </sheetView>
  </sheetViews>
  <sheetFormatPr defaultRowHeight="14.5" x14ac:dyDescent="0.35"/>
  <cols>
    <col min="1" max="1" width="36.36328125" customWidth="1"/>
    <col min="2" max="2" width="15.1796875" bestFit="1" customWidth="1"/>
    <col min="3" max="4" width="7.90625" bestFit="1" customWidth="1"/>
    <col min="5" max="5" width="29.26953125" customWidth="1"/>
    <col min="6" max="6" width="31.6328125" bestFit="1" customWidth="1"/>
    <col min="7" max="8" width="8.1796875" customWidth="1"/>
  </cols>
  <sheetData>
    <row r="1" spans="1:8" ht="48" customHeight="1" x14ac:dyDescent="0.35">
      <c r="A1" s="291" t="s">
        <v>565</v>
      </c>
      <c r="B1" s="291"/>
      <c r="C1" s="291"/>
      <c r="D1" s="291"/>
      <c r="E1" s="291"/>
      <c r="F1" s="291"/>
      <c r="G1" s="291"/>
      <c r="H1" s="291"/>
    </row>
    <row r="2" spans="1:8" x14ac:dyDescent="0.35">
      <c r="A2" s="304" t="s">
        <v>566</v>
      </c>
      <c r="B2" s="304"/>
      <c r="C2" s="304"/>
      <c r="D2" s="304"/>
      <c r="E2" s="304"/>
      <c r="F2" s="304"/>
      <c r="G2" s="304"/>
      <c r="H2" s="304"/>
    </row>
    <row r="3" spans="1:8" x14ac:dyDescent="0.35">
      <c r="A3" s="305" t="s">
        <v>567</v>
      </c>
      <c r="B3" s="305"/>
      <c r="C3" s="305"/>
      <c r="D3" s="305"/>
      <c r="E3" s="305"/>
      <c r="F3" s="305"/>
      <c r="G3" s="305"/>
      <c r="H3" s="305"/>
    </row>
    <row r="4" spans="1:8" x14ac:dyDescent="0.35">
      <c r="A4" s="221"/>
      <c r="B4" s="221"/>
      <c r="C4" s="221"/>
      <c r="D4" s="221"/>
      <c r="E4" s="221"/>
      <c r="F4" s="221"/>
      <c r="G4" s="221"/>
      <c r="H4" s="221"/>
    </row>
    <row r="5" spans="1:8" ht="24" customHeight="1" x14ac:dyDescent="0.35">
      <c r="A5" s="302" t="s">
        <v>568</v>
      </c>
      <c r="B5" s="302"/>
      <c r="C5" s="302"/>
      <c r="D5" s="302"/>
      <c r="E5" s="302"/>
      <c r="F5" s="302"/>
      <c r="G5" s="302"/>
      <c r="H5" s="302"/>
    </row>
    <row r="6" spans="1:8" x14ac:dyDescent="0.35">
      <c r="A6" s="303" t="s">
        <v>1010</v>
      </c>
      <c r="B6" s="303"/>
      <c r="C6" s="303"/>
      <c r="D6" s="303"/>
      <c r="E6" s="303"/>
      <c r="F6" s="303"/>
      <c r="G6" s="303"/>
      <c r="H6" s="303"/>
    </row>
    <row r="7" spans="1:8" x14ac:dyDescent="0.35">
      <c r="A7" s="303"/>
      <c r="B7" s="303"/>
      <c r="C7" s="303"/>
      <c r="D7" s="303"/>
      <c r="E7" s="303"/>
      <c r="F7" s="303"/>
      <c r="G7" s="303"/>
      <c r="H7" s="303"/>
    </row>
    <row r="8" spans="1:8" ht="23.5" customHeight="1" x14ac:dyDescent="0.35">
      <c r="A8" s="303"/>
      <c r="B8" s="303"/>
      <c r="C8" s="303"/>
      <c r="D8" s="303"/>
      <c r="E8" s="303"/>
      <c r="F8" s="303"/>
      <c r="G8" s="303"/>
      <c r="H8" s="303"/>
    </row>
    <row r="9" spans="1:8" x14ac:dyDescent="0.35">
      <c r="A9" s="221"/>
      <c r="B9" s="221"/>
      <c r="C9" s="221"/>
      <c r="D9" s="221"/>
      <c r="E9" s="221"/>
      <c r="F9" s="221"/>
      <c r="G9" s="221"/>
      <c r="H9" s="221"/>
    </row>
    <row r="10" spans="1:8" ht="24" customHeight="1" x14ac:dyDescent="0.35">
      <c r="A10" s="302" t="s">
        <v>569</v>
      </c>
      <c r="B10" s="302"/>
      <c r="C10" s="302"/>
      <c r="D10" s="302"/>
      <c r="E10" s="302"/>
      <c r="F10" s="302"/>
      <c r="G10" s="302"/>
      <c r="H10" s="302"/>
    </row>
    <row r="11" spans="1:8" x14ac:dyDescent="0.35">
      <c r="A11" s="223" t="s">
        <v>146</v>
      </c>
      <c r="B11" s="223" t="s">
        <v>904</v>
      </c>
      <c r="C11" s="223" t="s">
        <v>1</v>
      </c>
      <c r="D11" s="223" t="s">
        <v>2</v>
      </c>
      <c r="E11" s="223" t="s">
        <v>570</v>
      </c>
      <c r="F11" s="223" t="s">
        <v>571</v>
      </c>
      <c r="G11" s="221"/>
      <c r="H11" s="221"/>
    </row>
    <row r="12" spans="1:8" x14ac:dyDescent="0.35">
      <c r="A12" s="224" t="s">
        <v>214</v>
      </c>
      <c r="B12" s="227">
        <f>'📄 INCOME_STATEMENT'!B15</f>
        <v>45430</v>
      </c>
      <c r="C12" s="227">
        <f>'📄 INCOME_STATEMENT'!C15</f>
        <v>45874</v>
      </c>
      <c r="D12" s="227">
        <f>'📄 INCOME_STATEMENT'!D15</f>
        <v>48831</v>
      </c>
      <c r="E12" s="231" t="s">
        <v>572</v>
      </c>
      <c r="F12" s="231" t="s">
        <v>573</v>
      </c>
      <c r="G12" s="221"/>
      <c r="H12" s="221"/>
    </row>
    <row r="13" spans="1:8" ht="26" x14ac:dyDescent="0.35">
      <c r="A13" s="225" t="s">
        <v>954</v>
      </c>
      <c r="B13" s="228">
        <f>'📄 INCOME_STATEMENT'!B44</f>
        <v>9848</v>
      </c>
      <c r="C13" s="228">
        <f>'📄 INCOME_STATEMENT'!C44</f>
        <v>10975</v>
      </c>
      <c r="D13" s="228">
        <f>'📄 INCOME_STATEMENT'!D44</f>
        <v>11688</v>
      </c>
      <c r="E13" s="232" t="str">
        <f>TEXT('📈 RATIOS_PROFITABILITY'!E16,"0.0%")&amp;" Net Income 2-Year CAGR (FY22–FY24)"</f>
        <v>8.9% Net Income 2-Year CAGR (FY22–FY24)</v>
      </c>
      <c r="F13" s="232" t="s">
        <v>574</v>
      </c>
      <c r="G13" s="221"/>
      <c r="H13" s="221"/>
    </row>
    <row r="14" spans="1:8" x14ac:dyDescent="0.35">
      <c r="A14" s="225" t="s">
        <v>450</v>
      </c>
      <c r="B14" s="229">
        <f>'📈 RATIOS_PROFITABILITY'!C8</f>
        <v>8.2367651794264876E-2</v>
      </c>
      <c r="C14" s="229">
        <f>'📈 RATIOS_PROFITABILITY'!D8</f>
        <v>8.9599516693267586E-2</v>
      </c>
      <c r="D14" s="229">
        <f>'📈 RATIOS_PROFITABILITY'!E8</f>
        <v>9.2806466597056519E-2</v>
      </c>
      <c r="E14" s="232" t="s">
        <v>575</v>
      </c>
      <c r="F14" s="232" t="s">
        <v>576</v>
      </c>
      <c r="G14" s="221"/>
      <c r="H14" s="221"/>
    </row>
    <row r="15" spans="1:8" ht="26" x14ac:dyDescent="0.35">
      <c r="A15" s="225" t="s">
        <v>451</v>
      </c>
      <c r="B15" s="229">
        <f>'📈 RATIOS_PROFITABILITY'!C9</f>
        <v>8.9017847861555921E-2</v>
      </c>
      <c r="C15" s="229">
        <f>'📈 RATIOS_PROFITABILITY'!D9</f>
        <v>9.7036303513642549E-2</v>
      </c>
      <c r="D15" s="229">
        <f>'📈 RATIOS_PROFITABILITY'!E9</f>
        <v>0.10065189497343334</v>
      </c>
      <c r="E15" s="232" t="s">
        <v>577</v>
      </c>
      <c r="F15" s="232" t="s">
        <v>994</v>
      </c>
      <c r="G15" s="221"/>
      <c r="H15" s="221"/>
    </row>
    <row r="16" spans="1:8" x14ac:dyDescent="0.35">
      <c r="A16" s="225" t="s">
        <v>461</v>
      </c>
      <c r="B16" s="229">
        <f>'📈 RATIOS_EFFICIENCY'!C8</f>
        <v>0.65736297600704385</v>
      </c>
      <c r="C16" s="229">
        <f>'📈 RATIOS_EFFICIENCY'!D8</f>
        <v>0.67480490037929985</v>
      </c>
      <c r="D16" s="229">
        <f>'📈 RATIOS_EFFICIENCY'!E8</f>
        <v>0.61831623354016918</v>
      </c>
      <c r="E16" s="232" t="s">
        <v>578</v>
      </c>
      <c r="F16" s="232" t="s">
        <v>995</v>
      </c>
      <c r="G16" s="221"/>
      <c r="H16" s="221"/>
    </row>
    <row r="17" spans="1:8" ht="26" x14ac:dyDescent="0.35">
      <c r="A17" s="225" t="s">
        <v>224</v>
      </c>
      <c r="B17" s="229">
        <f>'📈 RATIOS_CAPITAL'!C8</f>
        <v>0.12330000000000001</v>
      </c>
      <c r="C17" s="229">
        <f>'📈 RATIOS_CAPITAL'!D8</f>
        <v>0.13200000000000001</v>
      </c>
      <c r="D17" s="229">
        <f>'📈 RATIOS_CAPITAL'!E8</f>
        <v>0.12870000000000001</v>
      </c>
      <c r="E17" s="232" t="s">
        <v>822</v>
      </c>
      <c r="F17" s="232" t="s">
        <v>823</v>
      </c>
      <c r="G17" s="221"/>
      <c r="H17" s="221"/>
    </row>
    <row r="18" spans="1:8" x14ac:dyDescent="0.35">
      <c r="A18" s="225" t="s">
        <v>227</v>
      </c>
      <c r="B18" s="229">
        <f>'📈 RATIOS_LIQUIDITY'!C8</f>
        <v>1.29</v>
      </c>
      <c r="C18" s="229">
        <f>'📈 RATIOS_LIQUIDITY'!D8</f>
        <v>1.48</v>
      </c>
      <c r="D18" s="229">
        <f>'📈 RATIOS_LIQUIDITY'!E8</f>
        <v>1.37</v>
      </c>
      <c r="E18" s="232" t="s">
        <v>615</v>
      </c>
      <c r="F18" s="232" t="s">
        <v>616</v>
      </c>
      <c r="G18" s="221"/>
      <c r="H18" s="221"/>
    </row>
    <row r="19" spans="1:8" x14ac:dyDescent="0.35">
      <c r="A19" s="225" t="s">
        <v>151</v>
      </c>
      <c r="B19" s="229">
        <f>'📈 RATIOS_ASSET_QUALITY'!C8</f>
        <v>1.7000000000000001E-2</v>
      </c>
      <c r="C19" s="229">
        <f>'📈 RATIOS_ASSET_QUALITY'!D8</f>
        <v>1.7000000000000001E-2</v>
      </c>
      <c r="D19" s="229">
        <f>'📈 RATIOS_ASSET_QUALITY'!E8</f>
        <v>1.6E-2</v>
      </c>
      <c r="E19" s="232" t="s">
        <v>579</v>
      </c>
      <c r="F19" s="232" t="s">
        <v>580</v>
      </c>
      <c r="G19" s="221"/>
      <c r="H19" s="221"/>
    </row>
    <row r="20" spans="1:8" x14ac:dyDescent="0.35">
      <c r="A20" s="226" t="s">
        <v>140</v>
      </c>
      <c r="B20" s="230">
        <f>'📈 RATIOS_ASSET_QUALITY'!C9</f>
        <v>0.72499999999999998</v>
      </c>
      <c r="C20" s="230">
        <f>'📈 RATIOS_ASSET_QUALITY'!D9</f>
        <v>0.71699999999999997</v>
      </c>
      <c r="D20" s="230">
        <f>'📈 RATIOS_ASSET_QUALITY'!E9</f>
        <v>0.69699999999999995</v>
      </c>
      <c r="E20" s="233" t="s">
        <v>581</v>
      </c>
      <c r="F20" s="233" t="s">
        <v>582</v>
      </c>
      <c r="G20" s="221"/>
      <c r="H20" s="221"/>
    </row>
    <row r="21" spans="1:8" x14ac:dyDescent="0.35">
      <c r="A21" s="224" t="s">
        <v>136</v>
      </c>
      <c r="B21" s="236">
        <f>'📈 RATIOS_LIQUIDITY'!C9</f>
        <v>1.1505000000000001</v>
      </c>
      <c r="C21" s="236">
        <f>'📈 RATIOS_LIQUIDITY'!D9</f>
        <v>1.1592</v>
      </c>
      <c r="D21" s="236">
        <f>'📈 RATIOS_LIQUIDITY'!E9</f>
        <v>1.1174999999999999</v>
      </c>
      <c r="E21" s="231" t="s">
        <v>617</v>
      </c>
      <c r="F21" s="231" t="s">
        <v>616</v>
      </c>
      <c r="G21" s="221"/>
      <c r="H21" s="221"/>
    </row>
    <row r="22" spans="1:8" x14ac:dyDescent="0.35">
      <c r="A22" s="237"/>
      <c r="B22" s="238"/>
      <c r="C22" s="238"/>
      <c r="D22" s="238"/>
      <c r="E22" s="222"/>
      <c r="F22" s="222"/>
      <c r="G22" s="221"/>
      <c r="H22" s="221"/>
    </row>
    <row r="23" spans="1:8" ht="24" customHeight="1" x14ac:dyDescent="0.35">
      <c r="A23" s="302" t="s">
        <v>583</v>
      </c>
      <c r="B23" s="302"/>
      <c r="C23" s="302"/>
      <c r="D23" s="302"/>
      <c r="E23" s="302"/>
      <c r="F23" s="302"/>
      <c r="G23" s="302"/>
      <c r="H23" s="302"/>
    </row>
    <row r="24" spans="1:8" x14ac:dyDescent="0.35">
      <c r="A24" s="301" t="s">
        <v>996</v>
      </c>
      <c r="B24" s="301"/>
      <c r="C24" s="301"/>
      <c r="D24" s="301"/>
      <c r="E24" s="301"/>
      <c r="F24" s="301"/>
      <c r="G24" s="301"/>
      <c r="H24" s="301"/>
    </row>
    <row r="25" spans="1:8" x14ac:dyDescent="0.35">
      <c r="A25" s="301"/>
      <c r="B25" s="301"/>
      <c r="C25" s="301"/>
      <c r="D25" s="301"/>
      <c r="E25" s="301"/>
      <c r="F25" s="301"/>
      <c r="G25" s="301"/>
      <c r="H25" s="301"/>
    </row>
    <row r="26" spans="1:8" x14ac:dyDescent="0.35">
      <c r="A26" s="301"/>
      <c r="B26" s="301"/>
      <c r="C26" s="301"/>
      <c r="D26" s="301"/>
      <c r="E26" s="301"/>
      <c r="F26" s="301"/>
      <c r="G26" s="301"/>
      <c r="H26" s="301"/>
    </row>
    <row r="27" spans="1:8" x14ac:dyDescent="0.35">
      <c r="A27" s="301"/>
      <c r="B27" s="301"/>
      <c r="C27" s="301"/>
      <c r="D27" s="301"/>
      <c r="E27" s="301"/>
      <c r="F27" s="301"/>
      <c r="G27" s="301"/>
      <c r="H27" s="301"/>
    </row>
    <row r="28" spans="1:8" x14ac:dyDescent="0.35">
      <c r="A28" s="301"/>
      <c r="B28" s="301"/>
      <c r="C28" s="301"/>
      <c r="D28" s="301"/>
      <c r="E28" s="301"/>
      <c r="F28" s="301"/>
      <c r="G28" s="301"/>
      <c r="H28" s="301"/>
    </row>
    <row r="29" spans="1:8" x14ac:dyDescent="0.35">
      <c r="A29" s="301"/>
      <c r="B29" s="301"/>
      <c r="C29" s="301"/>
      <c r="D29" s="301"/>
      <c r="E29" s="301"/>
      <c r="F29" s="301"/>
      <c r="G29" s="301"/>
      <c r="H29" s="301"/>
    </row>
    <row r="30" spans="1:8" x14ac:dyDescent="0.35">
      <c r="A30" s="301"/>
      <c r="B30" s="301"/>
      <c r="C30" s="301"/>
      <c r="D30" s="301"/>
      <c r="E30" s="301"/>
      <c r="F30" s="301"/>
      <c r="G30" s="301"/>
      <c r="H30" s="301"/>
    </row>
    <row r="31" spans="1:8" ht="24" customHeight="1" x14ac:dyDescent="0.35">
      <c r="A31" s="302" t="s">
        <v>584</v>
      </c>
      <c r="B31" s="302"/>
      <c r="C31" s="302"/>
      <c r="D31" s="302"/>
      <c r="E31" s="302"/>
      <c r="F31" s="302"/>
      <c r="G31" s="302"/>
      <c r="H31" s="302"/>
    </row>
    <row r="32" spans="1:8" x14ac:dyDescent="0.35">
      <c r="A32" s="301" t="s">
        <v>1011</v>
      </c>
      <c r="B32" s="301"/>
      <c r="C32" s="301"/>
      <c r="D32" s="301"/>
      <c r="E32" s="301"/>
      <c r="F32" s="301"/>
      <c r="G32" s="301"/>
      <c r="H32" s="301"/>
    </row>
    <row r="33" spans="1:8" x14ac:dyDescent="0.35">
      <c r="A33" s="301"/>
      <c r="B33" s="301"/>
      <c r="C33" s="301"/>
      <c r="D33" s="301"/>
      <c r="E33" s="301"/>
      <c r="F33" s="301"/>
      <c r="G33" s="301"/>
      <c r="H33" s="301"/>
    </row>
    <row r="34" spans="1:8" x14ac:dyDescent="0.35">
      <c r="A34" s="301"/>
      <c r="B34" s="301"/>
      <c r="C34" s="301"/>
      <c r="D34" s="301"/>
      <c r="E34" s="301"/>
      <c r="F34" s="301"/>
      <c r="G34" s="301"/>
      <c r="H34" s="301"/>
    </row>
    <row r="35" spans="1:8" x14ac:dyDescent="0.35">
      <c r="A35" s="301"/>
      <c r="B35" s="301"/>
      <c r="C35" s="301"/>
      <c r="D35" s="301"/>
      <c r="E35" s="301"/>
      <c r="F35" s="301"/>
      <c r="G35" s="301"/>
      <c r="H35" s="301"/>
    </row>
    <row r="36" spans="1:8" x14ac:dyDescent="0.35">
      <c r="A36" s="301"/>
      <c r="B36" s="301"/>
      <c r="C36" s="301"/>
      <c r="D36" s="301"/>
      <c r="E36" s="301"/>
      <c r="F36" s="301"/>
      <c r="G36" s="301"/>
      <c r="H36" s="301"/>
    </row>
    <row r="37" spans="1:8" x14ac:dyDescent="0.35">
      <c r="A37" s="301"/>
      <c r="B37" s="301"/>
      <c r="C37" s="301"/>
      <c r="D37" s="301"/>
      <c r="E37" s="301"/>
      <c r="F37" s="301"/>
      <c r="G37" s="301"/>
      <c r="H37" s="301"/>
    </row>
    <row r="38" spans="1:8" ht="24" customHeight="1" x14ac:dyDescent="0.35">
      <c r="A38" s="302" t="s">
        <v>585</v>
      </c>
      <c r="B38" s="302"/>
      <c r="C38" s="302"/>
      <c r="D38" s="302"/>
      <c r="E38" s="302"/>
      <c r="F38" s="302"/>
      <c r="G38" s="302"/>
      <c r="H38" s="302"/>
    </row>
    <row r="39" spans="1:8" x14ac:dyDescent="0.35">
      <c r="A39" s="301" t="s">
        <v>1199</v>
      </c>
      <c r="B39" s="301"/>
      <c r="C39" s="301"/>
      <c r="D39" s="301"/>
      <c r="E39" s="301"/>
      <c r="F39" s="301"/>
      <c r="G39" s="301"/>
      <c r="H39" s="301"/>
    </row>
    <row r="40" spans="1:8" x14ac:dyDescent="0.35">
      <c r="A40" s="301"/>
      <c r="B40" s="301"/>
      <c r="C40" s="301"/>
      <c r="D40" s="301"/>
      <c r="E40" s="301"/>
      <c r="F40" s="301"/>
      <c r="G40" s="301"/>
      <c r="H40" s="301"/>
    </row>
    <row r="41" spans="1:8" x14ac:dyDescent="0.35">
      <c r="A41" s="301"/>
      <c r="B41" s="301"/>
      <c r="C41" s="301"/>
      <c r="D41" s="301"/>
      <c r="E41" s="301"/>
      <c r="F41" s="301"/>
      <c r="G41" s="301"/>
      <c r="H41" s="301"/>
    </row>
    <row r="42" spans="1:8" x14ac:dyDescent="0.35">
      <c r="A42" s="301"/>
      <c r="B42" s="301"/>
      <c r="C42" s="301"/>
      <c r="D42" s="301"/>
      <c r="E42" s="301"/>
      <c r="F42" s="301"/>
      <c r="G42" s="301"/>
      <c r="H42" s="301"/>
    </row>
    <row r="43" spans="1:8" x14ac:dyDescent="0.35">
      <c r="A43" s="301"/>
      <c r="B43" s="301"/>
      <c r="C43" s="301"/>
      <c r="D43" s="301"/>
      <c r="E43" s="301"/>
      <c r="F43" s="301"/>
      <c r="G43" s="301"/>
      <c r="H43" s="301"/>
    </row>
    <row r="44" spans="1:8" x14ac:dyDescent="0.35">
      <c r="A44" s="301"/>
      <c r="B44" s="301"/>
      <c r="C44" s="301"/>
      <c r="D44" s="301"/>
      <c r="E44" s="301"/>
      <c r="F44" s="301"/>
      <c r="G44" s="301"/>
      <c r="H44" s="301"/>
    </row>
    <row r="45" spans="1:8" x14ac:dyDescent="0.35">
      <c r="A45" s="301"/>
      <c r="B45" s="301"/>
      <c r="C45" s="301"/>
      <c r="D45" s="301"/>
      <c r="E45" s="301"/>
      <c r="F45" s="301"/>
      <c r="G45" s="301"/>
      <c r="H45" s="301"/>
    </row>
    <row r="46" spans="1:8" ht="24" customHeight="1" x14ac:dyDescent="0.35">
      <c r="A46" s="302" t="s">
        <v>586</v>
      </c>
      <c r="B46" s="302"/>
      <c r="C46" s="302"/>
      <c r="D46" s="302"/>
      <c r="E46" s="302"/>
      <c r="F46" s="302"/>
      <c r="G46" s="302"/>
      <c r="H46" s="302"/>
    </row>
    <row r="47" spans="1:8" ht="14.5" customHeight="1" x14ac:dyDescent="0.35">
      <c r="A47" s="301" t="s">
        <v>997</v>
      </c>
      <c r="B47" s="301"/>
      <c r="C47" s="301"/>
      <c r="D47" s="301"/>
      <c r="E47" s="301"/>
      <c r="F47" s="301"/>
      <c r="G47" s="301"/>
      <c r="H47" s="301"/>
    </row>
    <row r="48" spans="1:8" x14ac:dyDescent="0.35">
      <c r="A48" s="301"/>
      <c r="B48" s="301"/>
      <c r="C48" s="301"/>
      <c r="D48" s="301"/>
      <c r="E48" s="301"/>
      <c r="F48" s="301"/>
      <c r="G48" s="301"/>
      <c r="H48" s="301"/>
    </row>
    <row r="49" spans="1:8" x14ac:dyDescent="0.35">
      <c r="A49" s="301"/>
      <c r="B49" s="301"/>
      <c r="C49" s="301"/>
      <c r="D49" s="301"/>
      <c r="E49" s="301"/>
      <c r="F49" s="301"/>
      <c r="G49" s="301"/>
      <c r="H49" s="301"/>
    </row>
    <row r="50" spans="1:8" x14ac:dyDescent="0.35">
      <c r="A50" s="222"/>
      <c r="B50" s="222"/>
      <c r="C50" s="222"/>
      <c r="D50" s="222"/>
      <c r="E50" s="222"/>
      <c r="F50" s="222"/>
      <c r="G50" s="222"/>
      <c r="H50" s="222"/>
    </row>
    <row r="51" spans="1:8" x14ac:dyDescent="0.35">
      <c r="A51" s="222"/>
      <c r="B51" s="222"/>
      <c r="C51" s="222"/>
      <c r="D51" s="222"/>
      <c r="E51" s="222"/>
      <c r="F51" s="222"/>
      <c r="G51" s="222"/>
      <c r="H51" s="222"/>
    </row>
    <row r="52" spans="1:8" ht="24" customHeight="1" x14ac:dyDescent="0.35">
      <c r="A52" s="302" t="s">
        <v>587</v>
      </c>
      <c r="B52" s="302"/>
      <c r="C52" s="302"/>
      <c r="D52" s="302"/>
      <c r="E52" s="302"/>
      <c r="F52" s="302"/>
      <c r="G52" s="302"/>
      <c r="H52" s="302"/>
    </row>
    <row r="53" spans="1:8" ht="14.5" customHeight="1" x14ac:dyDescent="0.35">
      <c r="A53" s="301" t="s">
        <v>824</v>
      </c>
      <c r="B53" s="301"/>
      <c r="C53" s="301"/>
      <c r="D53" s="301"/>
      <c r="E53" s="301"/>
      <c r="F53" s="301"/>
      <c r="G53" s="301"/>
      <c r="H53" s="301"/>
    </row>
    <row r="54" spans="1:8" x14ac:dyDescent="0.35">
      <c r="A54" s="301"/>
      <c r="B54" s="301"/>
      <c r="C54" s="301"/>
      <c r="D54" s="301"/>
      <c r="E54" s="301"/>
      <c r="F54" s="301"/>
      <c r="G54" s="301"/>
      <c r="H54" s="301"/>
    </row>
    <row r="55" spans="1:8" x14ac:dyDescent="0.35">
      <c r="A55" s="301"/>
      <c r="B55" s="301"/>
      <c r="C55" s="301"/>
      <c r="D55" s="301"/>
      <c r="E55" s="301"/>
      <c r="F55" s="301"/>
      <c r="G55" s="301"/>
      <c r="H55" s="301"/>
    </row>
    <row r="56" spans="1:8" x14ac:dyDescent="0.35">
      <c r="A56" s="222"/>
      <c r="B56" s="222"/>
      <c r="C56" s="222"/>
      <c r="D56" s="222"/>
      <c r="E56" s="222"/>
      <c r="F56" s="222"/>
      <c r="G56" s="222"/>
      <c r="H56" s="222"/>
    </row>
    <row r="57" spans="1:8" x14ac:dyDescent="0.35">
      <c r="A57" s="222"/>
      <c r="B57" s="222"/>
      <c r="C57" s="222"/>
      <c r="D57" s="222"/>
      <c r="E57" s="222"/>
      <c r="F57" s="222"/>
      <c r="G57" s="222"/>
      <c r="H57" s="222"/>
    </row>
    <row r="58" spans="1:8" ht="24" customHeight="1" x14ac:dyDescent="0.35">
      <c r="A58" s="302" t="s">
        <v>588</v>
      </c>
      <c r="B58" s="302"/>
      <c r="C58" s="302"/>
      <c r="D58" s="302"/>
      <c r="E58" s="302"/>
      <c r="F58" s="302"/>
      <c r="G58" s="302"/>
      <c r="H58" s="302"/>
    </row>
    <row r="59" spans="1:8" x14ac:dyDescent="0.35">
      <c r="A59" s="301" t="s">
        <v>998</v>
      </c>
      <c r="B59" s="301"/>
      <c r="C59" s="301"/>
      <c r="D59" s="301"/>
      <c r="E59" s="301"/>
      <c r="F59" s="301"/>
      <c r="G59" s="301"/>
      <c r="H59" s="301"/>
    </row>
    <row r="60" spans="1:8" x14ac:dyDescent="0.35">
      <c r="A60" s="301"/>
      <c r="B60" s="301"/>
      <c r="C60" s="301"/>
      <c r="D60" s="301"/>
      <c r="E60" s="301"/>
      <c r="F60" s="301"/>
      <c r="G60" s="301"/>
      <c r="H60" s="301"/>
    </row>
    <row r="61" spans="1:8" x14ac:dyDescent="0.35">
      <c r="A61" s="301"/>
      <c r="B61" s="301"/>
      <c r="C61" s="301"/>
      <c r="D61" s="301"/>
      <c r="E61" s="301"/>
      <c r="F61" s="301"/>
      <c r="G61" s="301"/>
      <c r="H61" s="301"/>
    </row>
    <row r="62" spans="1:8" x14ac:dyDescent="0.35">
      <c r="A62" s="301"/>
      <c r="B62" s="301"/>
      <c r="C62" s="301"/>
      <c r="D62" s="301"/>
      <c r="E62" s="301"/>
      <c r="F62" s="301"/>
      <c r="G62" s="301"/>
      <c r="H62" s="301"/>
    </row>
    <row r="63" spans="1:8" x14ac:dyDescent="0.35">
      <c r="A63" s="301"/>
      <c r="B63" s="301"/>
      <c r="C63" s="301"/>
      <c r="D63" s="301"/>
      <c r="E63" s="301"/>
      <c r="F63" s="301"/>
      <c r="G63" s="301"/>
      <c r="H63" s="301"/>
    </row>
    <row r="64" spans="1:8" x14ac:dyDescent="0.35">
      <c r="A64" s="301"/>
      <c r="B64" s="301"/>
      <c r="C64" s="301"/>
      <c r="D64" s="301"/>
      <c r="E64" s="301"/>
      <c r="F64" s="301"/>
      <c r="G64" s="301"/>
      <c r="H64" s="301"/>
    </row>
    <row r="65" spans="1:8" ht="24" customHeight="1" x14ac:dyDescent="0.35">
      <c r="A65" s="302" t="s">
        <v>589</v>
      </c>
      <c r="B65" s="302"/>
      <c r="C65" s="302"/>
      <c r="D65" s="302"/>
      <c r="E65" s="302"/>
      <c r="F65" s="302"/>
      <c r="G65" s="302"/>
      <c r="H65" s="302"/>
    </row>
    <row r="66" spans="1:8" x14ac:dyDescent="0.35">
      <c r="A66" s="301" t="s">
        <v>999</v>
      </c>
      <c r="B66" s="301"/>
      <c r="C66" s="301"/>
      <c r="D66" s="301"/>
      <c r="E66" s="301"/>
      <c r="F66" s="301"/>
      <c r="G66" s="301"/>
      <c r="H66" s="301"/>
    </row>
    <row r="67" spans="1:8" x14ac:dyDescent="0.35">
      <c r="A67" s="301"/>
      <c r="B67" s="301"/>
      <c r="C67" s="301"/>
      <c r="D67" s="301"/>
      <c r="E67" s="301"/>
      <c r="F67" s="301"/>
      <c r="G67" s="301"/>
      <c r="H67" s="301"/>
    </row>
    <row r="68" spans="1:8" x14ac:dyDescent="0.35">
      <c r="A68" s="301"/>
      <c r="B68" s="301"/>
      <c r="C68" s="301"/>
      <c r="D68" s="301"/>
      <c r="E68" s="301"/>
      <c r="F68" s="301"/>
      <c r="G68" s="301"/>
      <c r="H68" s="301"/>
    </row>
    <row r="69" spans="1:8" x14ac:dyDescent="0.35">
      <c r="A69" s="301"/>
      <c r="B69" s="301"/>
      <c r="C69" s="301"/>
      <c r="D69" s="301"/>
      <c r="E69" s="301"/>
      <c r="F69" s="301"/>
      <c r="G69" s="301"/>
      <c r="H69" s="301"/>
    </row>
    <row r="70" spans="1:8" x14ac:dyDescent="0.35">
      <c r="A70" s="301"/>
      <c r="B70" s="301"/>
      <c r="C70" s="301"/>
      <c r="D70" s="301"/>
      <c r="E70" s="301"/>
      <c r="F70" s="301"/>
      <c r="G70" s="301"/>
      <c r="H70" s="301"/>
    </row>
    <row r="71" spans="1:8" ht="24" customHeight="1" x14ac:dyDescent="0.35">
      <c r="A71" s="302" t="s">
        <v>590</v>
      </c>
      <c r="B71" s="302"/>
      <c r="C71" s="302"/>
      <c r="D71" s="302"/>
      <c r="E71" s="302"/>
      <c r="F71" s="302"/>
      <c r="G71" s="302"/>
      <c r="H71" s="302"/>
    </row>
    <row r="72" spans="1:8" ht="24" customHeight="1" x14ac:dyDescent="0.35">
      <c r="A72" s="301" t="s">
        <v>1012</v>
      </c>
      <c r="B72" s="301"/>
      <c r="C72" s="301"/>
      <c r="D72" s="301"/>
      <c r="E72" s="301"/>
      <c r="F72" s="301"/>
      <c r="G72" s="301"/>
      <c r="H72" s="301"/>
    </row>
    <row r="73" spans="1:8" ht="24" customHeight="1" x14ac:dyDescent="0.35">
      <c r="A73" s="301"/>
      <c r="B73" s="301"/>
      <c r="C73" s="301"/>
      <c r="D73" s="301"/>
      <c r="E73" s="301"/>
      <c r="F73" s="301"/>
      <c r="G73" s="301"/>
      <c r="H73" s="301"/>
    </row>
    <row r="74" spans="1:8" ht="24" customHeight="1" x14ac:dyDescent="0.35">
      <c r="A74" s="301"/>
      <c r="B74" s="301"/>
      <c r="C74" s="301"/>
      <c r="D74" s="301"/>
      <c r="E74" s="301"/>
      <c r="F74" s="301"/>
      <c r="G74" s="301"/>
      <c r="H74" s="301"/>
    </row>
    <row r="75" spans="1:8" ht="24" customHeight="1" x14ac:dyDescent="0.35">
      <c r="A75" s="301"/>
      <c r="B75" s="301"/>
      <c r="C75" s="301"/>
      <c r="D75" s="301"/>
      <c r="E75" s="301"/>
      <c r="F75" s="301"/>
      <c r="G75" s="301"/>
      <c r="H75" s="301"/>
    </row>
    <row r="76" spans="1:8" ht="24" customHeight="1" x14ac:dyDescent="0.35">
      <c r="A76" s="301"/>
      <c r="B76" s="301"/>
      <c r="C76" s="301"/>
      <c r="D76" s="301"/>
      <c r="E76" s="301"/>
      <c r="F76" s="301"/>
      <c r="G76" s="301"/>
      <c r="H76" s="301"/>
    </row>
    <row r="77" spans="1:8" ht="24" customHeight="1" x14ac:dyDescent="0.35">
      <c r="A77" s="301"/>
      <c r="B77" s="301"/>
      <c r="C77" s="301"/>
      <c r="D77" s="301"/>
      <c r="E77" s="301"/>
      <c r="F77" s="301"/>
      <c r="G77" s="301"/>
      <c r="H77" s="301"/>
    </row>
  </sheetData>
  <mergeCells count="22">
    <mergeCell ref="A23:H23"/>
    <mergeCell ref="A1:H1"/>
    <mergeCell ref="A2:H2"/>
    <mergeCell ref="A3:H3"/>
    <mergeCell ref="A5:H5"/>
    <mergeCell ref="A10:H10"/>
    <mergeCell ref="A53:H55"/>
    <mergeCell ref="A47:H49"/>
    <mergeCell ref="A72:H77"/>
    <mergeCell ref="A71:H71"/>
    <mergeCell ref="A6:H8"/>
    <mergeCell ref="A24:H30"/>
    <mergeCell ref="A32:H37"/>
    <mergeCell ref="A39:H45"/>
    <mergeCell ref="A59:H64"/>
    <mergeCell ref="A66:H70"/>
    <mergeCell ref="A31:H31"/>
    <mergeCell ref="A38:H38"/>
    <mergeCell ref="A46:H46"/>
    <mergeCell ref="A52:H52"/>
    <mergeCell ref="A58:H58"/>
    <mergeCell ref="A65:H65"/>
  </mergeCells>
  <pageMargins left="0.7" right="0.7" top="0.75" bottom="0.75" header="0.3" footer="0.3"/>
  <pageSetup paperSize="9" scale="63" fitToHeight="3"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D8501-B364-454C-B991-48BE0D8BF967}">
  <sheetPr>
    <tabColor rgb="FF4472C4"/>
  </sheetPr>
  <dimension ref="A1:I51"/>
  <sheetViews>
    <sheetView showGridLines="0" topLeftCell="A45" workbookViewId="0">
      <selection activeCell="G42" sqref="G42"/>
    </sheetView>
  </sheetViews>
  <sheetFormatPr defaultRowHeight="20" customHeight="1" x14ac:dyDescent="0.35"/>
  <cols>
    <col min="1" max="1" width="47.26953125" style="1" customWidth="1"/>
    <col min="2" max="2" width="17.36328125" style="1" customWidth="1"/>
    <col min="3" max="3" width="10.81640625" style="1" customWidth="1"/>
    <col min="4" max="4" width="9.26953125" style="1" customWidth="1"/>
    <col min="5" max="5" width="10.453125" style="1" customWidth="1"/>
    <col min="6" max="6" width="13.1796875" style="1" customWidth="1"/>
    <col min="7" max="16384" width="8.7265625" style="1"/>
  </cols>
  <sheetData>
    <row r="1" spans="1:9" ht="48" customHeight="1" x14ac:dyDescent="0.35">
      <c r="A1" s="291" t="s">
        <v>52</v>
      </c>
      <c r="B1" s="291"/>
      <c r="C1" s="291"/>
      <c r="D1" s="291"/>
      <c r="E1" s="291"/>
      <c r="F1" s="291"/>
      <c r="G1"/>
      <c r="H1"/>
      <c r="I1"/>
    </row>
    <row r="2" spans="1:9" ht="24" customHeight="1" x14ac:dyDescent="0.35">
      <c r="A2" s="310" t="s">
        <v>263</v>
      </c>
      <c r="B2" s="310"/>
      <c r="C2" s="310"/>
      <c r="D2" s="310"/>
      <c r="E2" s="310"/>
      <c r="F2" s="310"/>
      <c r="G2"/>
      <c r="H2"/>
      <c r="I2"/>
    </row>
    <row r="3" spans="1:9" ht="24" customHeight="1" x14ac:dyDescent="0.35">
      <c r="A3" s="293" t="s">
        <v>264</v>
      </c>
      <c r="B3" s="293"/>
      <c r="C3" s="293"/>
      <c r="D3" s="293"/>
      <c r="E3" s="293"/>
      <c r="F3" s="293"/>
      <c r="G3"/>
      <c r="H3"/>
      <c r="I3"/>
    </row>
    <row r="4" spans="1:9" ht="36" customHeight="1" x14ac:dyDescent="0.35">
      <c r="A4" s="311" t="s">
        <v>1150</v>
      </c>
      <c r="B4" s="311"/>
      <c r="C4" s="311"/>
      <c r="D4" s="311"/>
      <c r="E4" s="311"/>
      <c r="F4" s="311"/>
      <c r="G4"/>
      <c r="H4"/>
      <c r="I4"/>
    </row>
    <row r="5" spans="1:9" ht="20" customHeight="1" x14ac:dyDescent="0.35">
      <c r="A5" s="12"/>
      <c r="B5" s="12"/>
      <c r="C5" s="12"/>
      <c r="D5" s="12"/>
      <c r="E5" s="12"/>
      <c r="F5" s="12"/>
      <c r="G5"/>
      <c r="H5"/>
      <c r="I5"/>
    </row>
    <row r="6" spans="1:9" ht="20" customHeight="1" x14ac:dyDescent="0.35">
      <c r="A6" s="12"/>
      <c r="B6" s="12"/>
      <c r="C6" s="12"/>
      <c r="D6" s="12"/>
      <c r="E6" s="12"/>
      <c r="F6" s="12"/>
      <c r="G6"/>
      <c r="H6"/>
      <c r="I6"/>
    </row>
    <row r="7" spans="1:9" ht="24" customHeight="1" x14ac:dyDescent="0.35">
      <c r="A7" s="17" t="s">
        <v>265</v>
      </c>
      <c r="B7" s="17" t="s">
        <v>904</v>
      </c>
      <c r="C7" s="17" t="s">
        <v>1</v>
      </c>
      <c r="D7" s="17" t="s">
        <v>2</v>
      </c>
      <c r="E7" s="17" t="s">
        <v>54</v>
      </c>
      <c r="F7" s="17" t="s">
        <v>55</v>
      </c>
      <c r="G7"/>
      <c r="H7"/>
      <c r="I7"/>
    </row>
    <row r="8" spans="1:9" ht="20" customHeight="1" x14ac:dyDescent="0.35">
      <c r="A8" s="80"/>
      <c r="B8" s="35"/>
      <c r="C8" s="35"/>
      <c r="D8" s="35"/>
      <c r="E8" s="35"/>
      <c r="F8" s="35"/>
      <c r="G8"/>
      <c r="H8"/>
      <c r="I8"/>
    </row>
    <row r="9" spans="1:9" ht="24" customHeight="1" x14ac:dyDescent="0.35">
      <c r="A9" s="306" t="s">
        <v>266</v>
      </c>
      <c r="B9" s="307"/>
      <c r="C9" s="307"/>
      <c r="D9" s="307"/>
      <c r="E9" s="307"/>
      <c r="F9" s="307"/>
      <c r="G9"/>
      <c r="H9"/>
      <c r="I9"/>
    </row>
    <row r="10" spans="1:9" ht="20" customHeight="1" x14ac:dyDescent="0.35">
      <c r="A10" s="80" t="s">
        <v>168</v>
      </c>
      <c r="B10" s="66">
        <v>20933</v>
      </c>
      <c r="C10" s="66">
        <v>19058</v>
      </c>
      <c r="D10" s="66">
        <v>19524</v>
      </c>
      <c r="E10" s="92">
        <f>(C10/B10)-1</f>
        <v>-8.9571489991878805E-2</v>
      </c>
      <c r="F10" s="92">
        <f>(D10/C10)-1</f>
        <v>2.4451673837758481E-2</v>
      </c>
      <c r="G10"/>
      <c r="H10"/>
      <c r="I10"/>
    </row>
    <row r="11" spans="1:9" ht="20" customHeight="1" x14ac:dyDescent="0.35">
      <c r="A11" s="82" t="s">
        <v>649</v>
      </c>
      <c r="B11" s="67">
        <v>10165</v>
      </c>
      <c r="C11" s="67">
        <v>9821</v>
      </c>
      <c r="D11" s="67">
        <v>10701</v>
      </c>
      <c r="E11" s="93">
        <f t="shared" ref="E11:E13" si="0">(C11/B11)-1</f>
        <v>-3.3841613379242519E-2</v>
      </c>
      <c r="F11" s="93">
        <f t="shared" ref="F11:F13" si="1">(D11/C11)-1</f>
        <v>8.9603909988799524E-2</v>
      </c>
      <c r="G11"/>
      <c r="H11"/>
      <c r="I11"/>
    </row>
    <row r="12" spans="1:9" ht="20" customHeight="1" x14ac:dyDescent="0.35">
      <c r="A12" s="82" t="s">
        <v>650</v>
      </c>
      <c r="B12" s="67">
        <v>9352</v>
      </c>
      <c r="C12" s="67">
        <v>10346</v>
      </c>
      <c r="D12" s="67">
        <v>11569</v>
      </c>
      <c r="E12" s="93">
        <f t="shared" si="0"/>
        <v>0.10628742514970058</v>
      </c>
      <c r="F12" s="93">
        <f t="shared" si="1"/>
        <v>0.11820993620722975</v>
      </c>
      <c r="G12"/>
      <c r="H12"/>
      <c r="I12"/>
    </row>
    <row r="13" spans="1:9" ht="20" customHeight="1" x14ac:dyDescent="0.35">
      <c r="A13" s="83" t="s">
        <v>56</v>
      </c>
      <c r="B13" s="68">
        <v>2982</v>
      </c>
      <c r="C13" s="68">
        <v>4235</v>
      </c>
      <c r="D13" s="68">
        <v>4377</v>
      </c>
      <c r="E13" s="94">
        <f t="shared" si="0"/>
        <v>0.42018779342723001</v>
      </c>
      <c r="F13" s="94">
        <f t="shared" si="1"/>
        <v>3.3530106257378955E-2</v>
      </c>
      <c r="G13"/>
      <c r="H13"/>
      <c r="I13"/>
    </row>
    <row r="14" spans="1:9" ht="20" customHeight="1" x14ac:dyDescent="0.35">
      <c r="A14" s="80"/>
      <c r="B14" s="51"/>
      <c r="C14" s="51"/>
      <c r="D14" s="51"/>
      <c r="E14" s="95"/>
      <c r="F14" s="95"/>
      <c r="G14"/>
      <c r="H14"/>
      <c r="I14"/>
    </row>
    <row r="15" spans="1:9" ht="20" customHeight="1" x14ac:dyDescent="0.35">
      <c r="A15" s="84" t="s">
        <v>267</v>
      </c>
      <c r="B15" s="69">
        <v>45430</v>
      </c>
      <c r="C15" s="69">
        <v>45874</v>
      </c>
      <c r="D15" s="69">
        <v>48831</v>
      </c>
      <c r="E15" s="96">
        <f>(C15/B15)-1</f>
        <v>9.7732775698877727E-3</v>
      </c>
      <c r="F15" s="96">
        <f>(D15/C15)-1</f>
        <v>6.4459170772114938E-2</v>
      </c>
      <c r="G15"/>
      <c r="H15"/>
      <c r="I15"/>
    </row>
    <row r="16" spans="1:9" ht="20" customHeight="1" x14ac:dyDescent="0.35">
      <c r="A16" s="80"/>
      <c r="B16" s="51"/>
      <c r="C16" s="51"/>
      <c r="D16" s="51"/>
      <c r="E16" s="95"/>
      <c r="F16" s="95"/>
      <c r="G16"/>
      <c r="H16"/>
      <c r="I16"/>
    </row>
    <row r="17" spans="1:9" ht="20" customHeight="1" x14ac:dyDescent="0.35">
      <c r="A17" s="85" t="s">
        <v>268</v>
      </c>
      <c r="B17" s="70">
        <f>SUM(B10:B13)</f>
        <v>43432</v>
      </c>
      <c r="C17" s="70">
        <f t="shared" ref="C17:D17" si="2">SUM(C10:C13)</f>
        <v>43460</v>
      </c>
      <c r="D17" s="70">
        <f t="shared" si="2"/>
        <v>46171</v>
      </c>
      <c r="E17" s="71"/>
      <c r="F17" s="71"/>
      <c r="G17"/>
      <c r="H17"/>
      <c r="I17"/>
    </row>
    <row r="18" spans="1:9" ht="24" customHeight="1" x14ac:dyDescent="0.35">
      <c r="A18" s="306" t="s">
        <v>53</v>
      </c>
      <c r="B18" s="308"/>
      <c r="C18" s="308"/>
      <c r="D18" s="308"/>
      <c r="E18" s="309"/>
      <c r="F18" s="309"/>
      <c r="G18"/>
      <c r="H18"/>
      <c r="I18"/>
    </row>
    <row r="19" spans="1:9" ht="20" customHeight="1" x14ac:dyDescent="0.35">
      <c r="A19" s="80" t="s">
        <v>57</v>
      </c>
      <c r="B19" s="66">
        <v>27560</v>
      </c>
      <c r="C19" s="66">
        <v>28713</v>
      </c>
      <c r="D19" s="66">
        <v>27803</v>
      </c>
      <c r="E19" s="92">
        <f t="shared" ref="E19:F20" si="3">(C19/B19)-1</f>
        <v>4.1835994194484805E-2</v>
      </c>
      <c r="F19" s="92">
        <f t="shared" si="3"/>
        <v>-3.1692961376380002E-2</v>
      </c>
      <c r="G19"/>
      <c r="H19"/>
      <c r="I19"/>
    </row>
    <row r="20" spans="1:9" ht="20" customHeight="1" x14ac:dyDescent="0.35">
      <c r="A20" s="83" t="s">
        <v>651</v>
      </c>
      <c r="B20" s="68">
        <v>2304</v>
      </c>
      <c r="C20" s="68">
        <v>2243</v>
      </c>
      <c r="D20" s="68">
        <v>2390</v>
      </c>
      <c r="E20" s="94">
        <f t="shared" si="3"/>
        <v>-2.647569444444442E-2</v>
      </c>
      <c r="F20" s="94">
        <f t="shared" si="3"/>
        <v>6.553722692822106E-2</v>
      </c>
      <c r="G20"/>
      <c r="H20"/>
      <c r="I20"/>
    </row>
    <row r="21" spans="1:9" ht="20" customHeight="1" x14ac:dyDescent="0.35">
      <c r="A21" s="80"/>
      <c r="B21" s="51"/>
      <c r="C21" s="51"/>
      <c r="D21" s="51"/>
      <c r="E21" s="95"/>
      <c r="F21" s="95"/>
      <c r="G21"/>
      <c r="H21"/>
      <c r="I21"/>
    </row>
    <row r="22" spans="1:9" ht="20" customHeight="1" x14ac:dyDescent="0.35">
      <c r="A22" s="84" t="s">
        <v>269</v>
      </c>
      <c r="B22" s="69">
        <f>B19+B20</f>
        <v>29864</v>
      </c>
      <c r="C22" s="69">
        <f t="shared" ref="C22:D22" si="4">C19+C20</f>
        <v>30956</v>
      </c>
      <c r="D22" s="69">
        <f t="shared" si="4"/>
        <v>30193</v>
      </c>
      <c r="E22" s="96">
        <f>(C22/ABS(B22))-1</f>
        <v>3.6565764800428502E-2</v>
      </c>
      <c r="F22" s="96">
        <f>(D22/ABS(C22))-1</f>
        <v>-2.4647887323943629E-2</v>
      </c>
      <c r="G22"/>
      <c r="H22"/>
      <c r="I22"/>
    </row>
    <row r="23" spans="1:9" ht="20" customHeight="1" x14ac:dyDescent="0.35">
      <c r="A23" s="80"/>
      <c r="B23" s="51"/>
      <c r="C23" s="51"/>
      <c r="D23" s="51"/>
      <c r="E23" s="95"/>
      <c r="F23" s="95"/>
      <c r="G23"/>
      <c r="H23"/>
      <c r="I23"/>
    </row>
    <row r="24" spans="1:9" ht="20" customHeight="1" x14ac:dyDescent="0.35">
      <c r="A24" s="80"/>
      <c r="B24" s="51"/>
      <c r="C24" s="51"/>
      <c r="D24" s="51"/>
      <c r="E24" s="95"/>
      <c r="F24" s="95"/>
      <c r="G24"/>
      <c r="H24"/>
      <c r="I24"/>
    </row>
    <row r="25" spans="1:9" ht="20" customHeight="1" x14ac:dyDescent="0.35">
      <c r="A25" s="86" t="s">
        <v>270</v>
      </c>
      <c r="B25" s="73">
        <f>B15-B22</f>
        <v>15566</v>
      </c>
      <c r="C25" s="73">
        <f t="shared" ref="C25:D25" si="5">C15-C22</f>
        <v>14918</v>
      </c>
      <c r="D25" s="73">
        <f t="shared" si="5"/>
        <v>18638</v>
      </c>
      <c r="E25" s="96">
        <f t="shared" ref="E25:F25" si="6">(C25/B25)-1</f>
        <v>-4.1629191828343792E-2</v>
      </c>
      <c r="F25" s="101">
        <f t="shared" si="6"/>
        <v>0.24936318541359426</v>
      </c>
      <c r="G25"/>
      <c r="H25"/>
      <c r="I25"/>
    </row>
    <row r="26" spans="1:9" ht="20" customHeight="1" x14ac:dyDescent="0.35">
      <c r="A26" s="80"/>
      <c r="B26" s="51"/>
      <c r="C26" s="51"/>
      <c r="D26" s="51"/>
      <c r="E26" s="95"/>
      <c r="F26" s="102"/>
      <c r="G26"/>
      <c r="H26"/>
      <c r="I26"/>
    </row>
    <row r="27" spans="1:9" ht="20" customHeight="1" x14ac:dyDescent="0.35">
      <c r="A27" s="320" t="s">
        <v>6</v>
      </c>
      <c r="B27" s="321">
        <v>3003</v>
      </c>
      <c r="C27" s="321">
        <v>2907</v>
      </c>
      <c r="D27" s="321">
        <v>2999</v>
      </c>
      <c r="E27" s="322">
        <f>(C27/ABS(B27))-1</f>
        <v>-3.1968031968031996E-2</v>
      </c>
      <c r="F27" s="322">
        <f>(D27/ABS(C27))-1</f>
        <v>3.1647746818025402E-2</v>
      </c>
      <c r="G27"/>
      <c r="H27"/>
      <c r="I27"/>
    </row>
    <row r="28" spans="1:9" ht="30" customHeight="1" x14ac:dyDescent="0.35">
      <c r="A28" s="217" t="s">
        <v>905</v>
      </c>
      <c r="B28" s="323">
        <v>0</v>
      </c>
      <c r="C28" s="323">
        <v>775</v>
      </c>
      <c r="D28" s="323">
        <v>202</v>
      </c>
      <c r="E28" s="324" t="str">
        <f>IFERROR(C28/B28-1,"n/a")</f>
        <v>n/a</v>
      </c>
      <c r="F28" s="324">
        <f>(D28/C28)-1</f>
        <v>-0.73935483870967744</v>
      </c>
      <c r="G28"/>
      <c r="H28"/>
      <c r="I28"/>
    </row>
    <row r="29" spans="1:9" ht="20" customHeight="1" x14ac:dyDescent="0.35">
      <c r="A29" s="325" t="s">
        <v>906</v>
      </c>
      <c r="B29" s="326">
        <f>B27+B28</f>
        <v>3003</v>
      </c>
      <c r="C29" s="326">
        <f>C27+C28</f>
        <v>3682</v>
      </c>
      <c r="D29" s="326">
        <f>D27+D28</f>
        <v>3201</v>
      </c>
      <c r="E29" s="327">
        <f>(C29/ABS(B29))-1</f>
        <v>0.22610722610722611</v>
      </c>
      <c r="F29" s="327">
        <f>(D29/ABS(C29))-1</f>
        <v>-0.13063552417164581</v>
      </c>
      <c r="G29"/>
      <c r="H29"/>
      <c r="I29"/>
    </row>
    <row r="30" spans="1:9" ht="20" customHeight="1" x14ac:dyDescent="0.35">
      <c r="A30" s="80"/>
      <c r="B30" s="51"/>
      <c r="C30" s="51"/>
      <c r="D30" s="51"/>
      <c r="E30" s="95"/>
      <c r="F30" s="102"/>
      <c r="G30"/>
      <c r="H30"/>
      <c r="I30"/>
    </row>
    <row r="31" spans="1:9" ht="20" customHeight="1" x14ac:dyDescent="0.35">
      <c r="A31" s="86" t="s">
        <v>271</v>
      </c>
      <c r="B31" s="74">
        <f>B25-B29</f>
        <v>12563</v>
      </c>
      <c r="C31" s="74">
        <f>C25-C29</f>
        <v>11236</v>
      </c>
      <c r="D31" s="74">
        <f>D25-D29</f>
        <v>15437</v>
      </c>
      <c r="E31" s="96">
        <f t="shared" ref="E31:F31" si="7">(C31/B31)-1</f>
        <v>-0.10562763671097664</v>
      </c>
      <c r="F31" s="101">
        <f t="shared" si="7"/>
        <v>0.37388750444998231</v>
      </c>
      <c r="G31"/>
      <c r="H31"/>
      <c r="I31"/>
    </row>
    <row r="32" spans="1:9" ht="20" customHeight="1" x14ac:dyDescent="0.35">
      <c r="A32" s="80"/>
      <c r="B32" s="51"/>
      <c r="C32" s="51"/>
      <c r="D32" s="51"/>
      <c r="E32" s="95"/>
      <c r="F32" s="102"/>
      <c r="G32"/>
      <c r="H32"/>
      <c r="I32"/>
    </row>
    <row r="33" spans="1:9" ht="20" customHeight="1" x14ac:dyDescent="0.35">
      <c r="A33" s="80" t="s">
        <v>58</v>
      </c>
      <c r="B33" s="51">
        <v>655</v>
      </c>
      <c r="C33" s="51">
        <v>593</v>
      </c>
      <c r="D33" s="51">
        <v>701</v>
      </c>
      <c r="E33" s="95"/>
      <c r="F33" s="102"/>
      <c r="G33"/>
      <c r="H33"/>
      <c r="I33"/>
    </row>
    <row r="34" spans="1:9" ht="20" customHeight="1" x14ac:dyDescent="0.35">
      <c r="A34" s="82" t="s">
        <v>59</v>
      </c>
      <c r="B34" s="52">
        <v>-253</v>
      </c>
      <c r="C34" s="52">
        <v>-104</v>
      </c>
      <c r="D34" s="52">
        <v>-191</v>
      </c>
      <c r="E34" s="98"/>
      <c r="F34" s="103"/>
      <c r="G34"/>
      <c r="H34"/>
      <c r="I34"/>
    </row>
    <row r="35" spans="1:9" ht="20" customHeight="1" x14ac:dyDescent="0.35">
      <c r="A35" s="83" t="s">
        <v>272</v>
      </c>
      <c r="B35" s="53">
        <v>249</v>
      </c>
      <c r="C35" s="53">
        <v>0</v>
      </c>
      <c r="D35" s="53">
        <v>241</v>
      </c>
      <c r="E35" s="99"/>
      <c r="F35" s="104"/>
      <c r="G35"/>
      <c r="H35"/>
      <c r="I35"/>
    </row>
    <row r="36" spans="1:9" ht="20" customHeight="1" x14ac:dyDescent="0.35">
      <c r="A36" s="80"/>
      <c r="B36" s="51"/>
      <c r="C36" s="51"/>
      <c r="D36" s="51"/>
      <c r="E36" s="95"/>
      <c r="F36" s="102"/>
      <c r="G36"/>
      <c r="H36"/>
      <c r="I36"/>
    </row>
    <row r="37" spans="1:9" ht="20" customHeight="1" x14ac:dyDescent="0.35">
      <c r="A37" s="84" t="s">
        <v>273</v>
      </c>
      <c r="B37" s="75">
        <f>B31+B33+B34+B35</f>
        <v>13214</v>
      </c>
      <c r="C37" s="75">
        <f>C31+C33+C34+C35</f>
        <v>11725</v>
      </c>
      <c r="D37" s="75">
        <f>D31+D33+D34+D35</f>
        <v>16188</v>
      </c>
      <c r="E37" s="96">
        <f t="shared" ref="E37:F37" si="8">(C37/B37)-1</f>
        <v>-0.11268351748145911</v>
      </c>
      <c r="F37" s="101">
        <f t="shared" si="8"/>
        <v>0.38063965884861406</v>
      </c>
      <c r="G37"/>
      <c r="H37"/>
      <c r="I37"/>
    </row>
    <row r="38" spans="1:9" ht="20" customHeight="1" x14ac:dyDescent="0.35">
      <c r="A38" s="80"/>
      <c r="B38" s="51"/>
      <c r="C38" s="51"/>
      <c r="D38" s="51"/>
      <c r="E38" s="95"/>
      <c r="F38" s="102"/>
      <c r="G38"/>
      <c r="H38"/>
      <c r="I38"/>
    </row>
    <row r="39" spans="1:9" ht="20" customHeight="1" x14ac:dyDescent="0.35">
      <c r="A39" s="88" t="s">
        <v>274</v>
      </c>
      <c r="B39" s="76">
        <v>3653</v>
      </c>
      <c r="C39" s="76">
        <v>3266</v>
      </c>
      <c r="D39" s="76">
        <v>4001</v>
      </c>
      <c r="E39" s="100"/>
      <c r="F39" s="105"/>
      <c r="G39"/>
      <c r="H39"/>
      <c r="I39"/>
    </row>
    <row r="40" spans="1:9" ht="20" customHeight="1" x14ac:dyDescent="0.35">
      <c r="A40" s="84" t="s">
        <v>907</v>
      </c>
      <c r="B40" s="75">
        <f>B37-B39</f>
        <v>9561</v>
      </c>
      <c r="C40" s="75">
        <f>C37-C39</f>
        <v>8459</v>
      </c>
      <c r="D40" s="75">
        <f>D37-D39</f>
        <v>12187</v>
      </c>
      <c r="E40" s="96"/>
      <c r="F40" s="101"/>
      <c r="G40"/>
      <c r="H40"/>
      <c r="I40"/>
    </row>
    <row r="41" spans="1:9" ht="20" customHeight="1" x14ac:dyDescent="0.35">
      <c r="A41" s="80" t="s">
        <v>908</v>
      </c>
      <c r="B41" s="51">
        <v>687</v>
      </c>
      <c r="C41" s="51">
        <v>2947</v>
      </c>
      <c r="D41" s="51">
        <v>0</v>
      </c>
      <c r="E41" s="95"/>
      <c r="F41" s="102"/>
      <c r="G41"/>
      <c r="H41"/>
      <c r="I41"/>
    </row>
    <row r="42" spans="1:9" ht="20" customHeight="1" x14ac:dyDescent="0.35">
      <c r="A42" s="84" t="s">
        <v>909</v>
      </c>
      <c r="B42" s="75">
        <f>B40+B41</f>
        <v>10248</v>
      </c>
      <c r="C42" s="75">
        <f>C40+C41</f>
        <v>11406</v>
      </c>
      <c r="D42" s="75">
        <f>D40+D41</f>
        <v>12187</v>
      </c>
      <c r="E42" s="96"/>
      <c r="F42" s="101"/>
      <c r="G42"/>
      <c r="H42"/>
      <c r="I42"/>
    </row>
    <row r="43" spans="1:9" ht="20" customHeight="1" x14ac:dyDescent="0.35">
      <c r="A43" s="80" t="s">
        <v>910</v>
      </c>
      <c r="B43" s="51">
        <v>400</v>
      </c>
      <c r="C43" s="51">
        <v>431</v>
      </c>
      <c r="D43" s="51">
        <v>499</v>
      </c>
      <c r="E43" s="95"/>
      <c r="F43" s="102"/>
      <c r="G43"/>
      <c r="H43"/>
      <c r="I43"/>
    </row>
    <row r="44" spans="1:9" ht="20" customHeight="1" x14ac:dyDescent="0.35">
      <c r="A44" s="80" t="s">
        <v>911</v>
      </c>
      <c r="B44" s="51">
        <f>B42-B43</f>
        <v>9848</v>
      </c>
      <c r="C44" s="51">
        <f>C42-C43</f>
        <v>10975</v>
      </c>
      <c r="D44" s="51">
        <f>D42-D43</f>
        <v>11688</v>
      </c>
      <c r="E44" s="95">
        <f>(C44/B44)-1</f>
        <v>0.11443948009748173</v>
      </c>
      <c r="F44" s="102">
        <f>(D44/C44)-1</f>
        <v>6.4965831435079835E-2</v>
      </c>
      <c r="G44"/>
      <c r="H44"/>
      <c r="I44"/>
    </row>
    <row r="45" spans="1:9" ht="20" customHeight="1" x14ac:dyDescent="0.35">
      <c r="A45" s="80"/>
      <c r="B45" s="35"/>
      <c r="C45" s="35"/>
      <c r="D45" s="35"/>
      <c r="E45" s="35"/>
      <c r="F45" s="35"/>
      <c r="G45"/>
      <c r="H45"/>
      <c r="I45"/>
    </row>
    <row r="46" spans="1:9" ht="20" customHeight="1" x14ac:dyDescent="0.35">
      <c r="A46" s="80"/>
      <c r="B46" s="35"/>
      <c r="C46" s="35"/>
      <c r="D46" s="35"/>
      <c r="E46" s="35"/>
      <c r="F46" s="35"/>
      <c r="G46"/>
      <c r="H46"/>
      <c r="I46"/>
    </row>
    <row r="47" spans="1:9" ht="24" customHeight="1" x14ac:dyDescent="0.35">
      <c r="A47" s="306" t="s">
        <v>61</v>
      </c>
      <c r="B47" s="307"/>
      <c r="C47" s="307"/>
      <c r="D47" s="307"/>
      <c r="E47" s="307"/>
      <c r="F47" s="307"/>
      <c r="G47"/>
      <c r="H47"/>
      <c r="I47"/>
    </row>
    <row r="48" spans="1:9" ht="20" customHeight="1" x14ac:dyDescent="0.35">
      <c r="A48" s="89" t="s">
        <v>231</v>
      </c>
      <c r="B48" s="77">
        <f>B22/B15</f>
        <v>0.65736297600704385</v>
      </c>
      <c r="C48" s="77">
        <f t="shared" ref="C48:D48" si="9">C22/C15</f>
        <v>0.67480490037929985</v>
      </c>
      <c r="D48" s="77">
        <f t="shared" si="9"/>
        <v>0.61831623354016918</v>
      </c>
      <c r="E48" s="35"/>
      <c r="F48" s="35"/>
      <c r="G48"/>
      <c r="H48"/>
      <c r="I48"/>
    </row>
    <row r="49" spans="1:9" ht="20" customHeight="1" x14ac:dyDescent="0.35">
      <c r="A49" s="90" t="s">
        <v>152</v>
      </c>
      <c r="B49" s="247">
        <v>31</v>
      </c>
      <c r="C49" s="247">
        <v>32</v>
      </c>
      <c r="D49" s="247">
        <v>33</v>
      </c>
      <c r="E49" s="42"/>
      <c r="F49" s="42"/>
      <c r="G49"/>
      <c r="H49"/>
      <c r="I49"/>
    </row>
    <row r="50" spans="1:9" ht="20" customHeight="1" x14ac:dyDescent="0.35">
      <c r="A50" s="90" t="s">
        <v>134</v>
      </c>
      <c r="B50" s="78">
        <f>B44/B15</f>
        <v>0.21677305745102354</v>
      </c>
      <c r="C50" s="78">
        <f t="shared" ref="C50:D50" si="10">C44/C15</f>
        <v>0.23924227231111306</v>
      </c>
      <c r="D50" s="78">
        <f t="shared" si="10"/>
        <v>0.23935614671008171</v>
      </c>
      <c r="E50" s="42"/>
      <c r="F50" s="42"/>
      <c r="G50"/>
      <c r="H50"/>
      <c r="I50"/>
    </row>
    <row r="51" spans="1:9" ht="20" customHeight="1" x14ac:dyDescent="0.35">
      <c r="A51" s="91" t="s">
        <v>275</v>
      </c>
      <c r="B51" s="79">
        <v>7.52</v>
      </c>
      <c r="C51" s="79">
        <v>8.58</v>
      </c>
      <c r="D51" s="79">
        <v>9.57</v>
      </c>
      <c r="E51" s="39"/>
      <c r="F51" s="39"/>
      <c r="G51"/>
      <c r="H51"/>
      <c r="I51"/>
    </row>
  </sheetData>
  <mergeCells count="7">
    <mergeCell ref="A9:F9"/>
    <mergeCell ref="A18:F18"/>
    <mergeCell ref="A47:F47"/>
    <mergeCell ref="A1:F1"/>
    <mergeCell ref="A2:F2"/>
    <mergeCell ref="A3:F3"/>
    <mergeCell ref="A4:F4"/>
  </mergeCells>
  <phoneticPr fontId="4"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979C-399C-4657-8A64-93192E6BB116}">
  <sheetPr>
    <tabColor rgb="FF4472C4"/>
  </sheetPr>
  <dimension ref="A1:I72"/>
  <sheetViews>
    <sheetView showGridLines="0" topLeftCell="A65" zoomScaleNormal="100" workbookViewId="0">
      <selection activeCell="E70" sqref="E70"/>
    </sheetView>
  </sheetViews>
  <sheetFormatPr defaultRowHeight="20" customHeight="1" x14ac:dyDescent="0.35"/>
  <cols>
    <col min="1" max="1" width="78.54296875" style="1" bestFit="1" customWidth="1"/>
    <col min="2" max="4" width="11.7265625" style="1" bestFit="1" customWidth="1"/>
    <col min="5" max="6" width="9.7265625" style="1" bestFit="1" customWidth="1"/>
    <col min="7" max="7" width="8.7265625" style="1"/>
    <col min="8" max="8" width="10.453125" style="1" bestFit="1" customWidth="1"/>
    <col min="9" max="9" width="10.90625" style="1" bestFit="1" customWidth="1"/>
    <col min="10" max="16384" width="8.7265625" style="1"/>
  </cols>
  <sheetData>
    <row r="1" spans="1:6" ht="48" customHeight="1" x14ac:dyDescent="0.35">
      <c r="A1" s="291" t="s">
        <v>62</v>
      </c>
      <c r="B1" s="291"/>
      <c r="C1" s="291"/>
      <c r="D1" s="291"/>
      <c r="E1" s="291"/>
      <c r="F1" s="291"/>
    </row>
    <row r="2" spans="1:6" ht="24" customHeight="1" x14ac:dyDescent="0.35">
      <c r="A2" s="310" t="s">
        <v>276</v>
      </c>
      <c r="B2" s="310"/>
      <c r="C2" s="310"/>
      <c r="D2" s="310"/>
      <c r="E2" s="310"/>
      <c r="F2" s="310"/>
    </row>
    <row r="3" spans="1:6" ht="24" customHeight="1" x14ac:dyDescent="0.35">
      <c r="A3" s="293" t="s">
        <v>277</v>
      </c>
      <c r="B3" s="293"/>
      <c r="C3" s="293"/>
      <c r="D3" s="293"/>
      <c r="E3" s="293"/>
      <c r="F3" s="293"/>
    </row>
    <row r="4" spans="1:6" ht="40" customHeight="1" x14ac:dyDescent="0.35">
      <c r="A4" s="311" t="s">
        <v>278</v>
      </c>
      <c r="B4" s="311"/>
      <c r="C4" s="311"/>
      <c r="D4" s="311"/>
      <c r="E4" s="311"/>
      <c r="F4" s="311"/>
    </row>
    <row r="5" spans="1:6" ht="20" customHeight="1" x14ac:dyDescent="0.35">
      <c r="A5" s="12"/>
      <c r="B5" s="12"/>
      <c r="C5" s="12"/>
      <c r="D5" s="12"/>
      <c r="E5" s="12"/>
      <c r="F5" s="12"/>
    </row>
    <row r="6" spans="1:6" ht="20" customHeight="1" x14ac:dyDescent="0.35">
      <c r="A6" s="12"/>
      <c r="B6" s="12"/>
      <c r="C6" s="12"/>
      <c r="D6" s="12"/>
      <c r="E6" s="12"/>
      <c r="F6" s="12"/>
    </row>
    <row r="7" spans="1:6" ht="24" customHeight="1" x14ac:dyDescent="0.35">
      <c r="A7" s="107" t="s">
        <v>279</v>
      </c>
      <c r="B7" s="234">
        <v>44926</v>
      </c>
      <c r="C7" s="234">
        <v>45291</v>
      </c>
      <c r="D7" s="234">
        <v>45657</v>
      </c>
      <c r="E7" s="106" t="s">
        <v>54</v>
      </c>
      <c r="F7" s="106" t="s">
        <v>55</v>
      </c>
    </row>
    <row r="8" spans="1:6" ht="20" customHeight="1" x14ac:dyDescent="0.35">
      <c r="A8" s="12"/>
      <c r="B8" s="12"/>
      <c r="C8" s="12"/>
      <c r="D8" s="12"/>
      <c r="E8" s="12"/>
      <c r="F8" s="12"/>
    </row>
    <row r="9" spans="1:6" ht="20" customHeight="1" x14ac:dyDescent="0.35">
      <c r="A9" s="109" t="s">
        <v>70</v>
      </c>
      <c r="B9" s="117">
        <v>318560</v>
      </c>
      <c r="C9" s="117">
        <v>288259</v>
      </c>
      <c r="D9" s="117">
        <v>182496</v>
      </c>
      <c r="E9" s="126">
        <f>(C9/B9)-1</f>
        <v>-9.5118658965343994E-2</v>
      </c>
      <c r="F9" s="126">
        <f>(D9/C9)-1</f>
        <v>-0.36690268126927517</v>
      </c>
    </row>
    <row r="10" spans="1:6" ht="20" customHeight="1" x14ac:dyDescent="0.35">
      <c r="A10" s="110" t="s">
        <v>71</v>
      </c>
      <c r="B10" s="118"/>
      <c r="C10" s="118"/>
      <c r="D10" s="118"/>
      <c r="E10" s="127"/>
      <c r="F10" s="127"/>
    </row>
    <row r="11" spans="1:6" ht="20" customHeight="1" x14ac:dyDescent="0.35">
      <c r="A11" s="135" t="s">
        <v>72</v>
      </c>
      <c r="B11" s="119">
        <v>166077</v>
      </c>
      <c r="C11" s="119">
        <v>211634</v>
      </c>
      <c r="D11" s="119">
        <v>267357</v>
      </c>
      <c r="E11" s="128">
        <f t="shared" ref="E11:E14" si="0">(C11/B11)-1</f>
        <v>0.27431251768757869</v>
      </c>
      <c r="F11" s="128">
        <f t="shared" ref="F11:F14" si="1">(D11/C11)-1</f>
        <v>0.26329890282279789</v>
      </c>
    </row>
    <row r="12" spans="1:6" ht="20" customHeight="1" x14ac:dyDescent="0.35">
      <c r="A12" s="135" t="s">
        <v>73</v>
      </c>
      <c r="B12" s="119">
        <v>191125</v>
      </c>
      <c r="C12" s="119">
        <v>227175</v>
      </c>
      <c r="D12" s="119">
        <v>225699</v>
      </c>
      <c r="E12" s="128">
        <f t="shared" si="0"/>
        <v>0.18862001308044474</v>
      </c>
      <c r="F12" s="128">
        <f t="shared" si="1"/>
        <v>-6.4971937933311352E-3</v>
      </c>
    </row>
    <row r="13" spans="1:6" ht="20" customHeight="1" x14ac:dyDescent="0.35">
      <c r="A13" s="135" t="s">
        <v>74</v>
      </c>
      <c r="B13" s="119">
        <v>327932</v>
      </c>
      <c r="C13" s="119">
        <v>292079</v>
      </c>
      <c r="D13" s="119">
        <v>322631</v>
      </c>
      <c r="E13" s="128">
        <f t="shared" si="0"/>
        <v>-0.10933059292780212</v>
      </c>
      <c r="F13" s="128">
        <f t="shared" si="1"/>
        <v>0.10460183717418925</v>
      </c>
    </row>
    <row r="14" spans="1:6" ht="20" customHeight="1" x14ac:dyDescent="0.35">
      <c r="A14" s="111" t="s">
        <v>75</v>
      </c>
      <c r="B14" s="119">
        <v>25401</v>
      </c>
      <c r="C14" s="119">
        <v>21692</v>
      </c>
      <c r="D14" s="119">
        <v>20851</v>
      </c>
      <c r="E14" s="128">
        <f t="shared" si="0"/>
        <v>-0.14601787331207428</v>
      </c>
      <c r="F14" s="128">
        <f t="shared" si="1"/>
        <v>-3.8770053475935873E-2</v>
      </c>
    </row>
    <row r="15" spans="1:6" ht="20" customHeight="1" x14ac:dyDescent="0.35">
      <c r="A15" s="110" t="s">
        <v>76</v>
      </c>
      <c r="B15" s="118"/>
      <c r="C15" s="118"/>
      <c r="D15" s="118"/>
      <c r="E15" s="127"/>
      <c r="F15" s="127"/>
    </row>
    <row r="16" spans="1:6" ht="20" customHeight="1" x14ac:dyDescent="0.35">
      <c r="A16" s="135" t="s">
        <v>77</v>
      </c>
      <c r="B16" s="119">
        <v>35878</v>
      </c>
      <c r="C16" s="119">
        <v>50274</v>
      </c>
      <c r="D16" s="119">
        <v>71430</v>
      </c>
      <c r="E16" s="128">
        <f t="shared" ref="E16:E29" si="2">(C16/B16)-1</f>
        <v>0.40124867606890025</v>
      </c>
      <c r="F16" s="128">
        <f t="shared" ref="F16:F29" si="3">(D16/C16)-1</f>
        <v>0.42081393961093205</v>
      </c>
    </row>
    <row r="17" spans="1:6" ht="20" customHeight="1" x14ac:dyDescent="0.35">
      <c r="A17" s="135" t="s">
        <v>78</v>
      </c>
      <c r="B17" s="119">
        <v>2188</v>
      </c>
      <c r="C17" s="119">
        <v>2275</v>
      </c>
      <c r="D17" s="119">
        <v>1610</v>
      </c>
      <c r="E17" s="128">
        <f t="shared" si="2"/>
        <v>3.9762340036562982E-2</v>
      </c>
      <c r="F17" s="128">
        <f t="shared" si="3"/>
        <v>-0.29230769230769227</v>
      </c>
    </row>
    <row r="18" spans="1:6" ht="20" customHeight="1" x14ac:dyDescent="0.35">
      <c r="A18" s="110" t="s">
        <v>79</v>
      </c>
      <c r="B18" s="118"/>
      <c r="C18" s="118"/>
      <c r="D18" s="118"/>
      <c r="E18" s="127"/>
      <c r="F18" s="127"/>
    </row>
    <row r="19" spans="1:6" ht="20" customHeight="1" x14ac:dyDescent="0.35">
      <c r="A19" s="135" t="s">
        <v>80</v>
      </c>
      <c r="B19" s="119">
        <v>32616</v>
      </c>
      <c r="C19" s="119">
        <v>24335</v>
      </c>
      <c r="D19" s="119">
        <v>31147</v>
      </c>
      <c r="E19" s="128">
        <f t="shared" si="2"/>
        <v>-0.25389379445670834</v>
      </c>
      <c r="F19" s="128">
        <f t="shared" si="3"/>
        <v>0.27992603246352998</v>
      </c>
    </row>
    <row r="20" spans="1:6" ht="20" customHeight="1" x14ac:dyDescent="0.35">
      <c r="A20" s="135" t="s">
        <v>81</v>
      </c>
      <c r="B20" s="119">
        <v>857020</v>
      </c>
      <c r="C20" s="119">
        <v>859200</v>
      </c>
      <c r="D20" s="119">
        <v>900141</v>
      </c>
      <c r="E20" s="128">
        <f t="shared" si="2"/>
        <v>2.5436979300366147E-3</v>
      </c>
      <c r="F20" s="128">
        <f t="shared" si="3"/>
        <v>4.7650139664804358E-2</v>
      </c>
    </row>
    <row r="21" spans="1:6" ht="20" customHeight="1" x14ac:dyDescent="0.35">
      <c r="A21" s="135" t="s">
        <v>77</v>
      </c>
      <c r="B21" s="119">
        <v>114014</v>
      </c>
      <c r="C21" s="119">
        <v>121161</v>
      </c>
      <c r="D21" s="119">
        <v>146975</v>
      </c>
      <c r="E21" s="128">
        <f t="shared" si="2"/>
        <v>6.2685284263336083E-2</v>
      </c>
      <c r="F21" s="128">
        <f t="shared" si="3"/>
        <v>0.21305535609643367</v>
      </c>
    </row>
    <row r="22" spans="1:6" ht="20" customHeight="1" x14ac:dyDescent="0.35">
      <c r="A22" s="111" t="s">
        <v>82</v>
      </c>
      <c r="B22" s="119">
        <v>-7477</v>
      </c>
      <c r="C22" s="119">
        <v>-2661</v>
      </c>
      <c r="D22" s="119">
        <v>-758</v>
      </c>
      <c r="E22" s="128">
        <f t="shared" si="2"/>
        <v>-0.64410859970576428</v>
      </c>
      <c r="F22" s="128">
        <f t="shared" si="3"/>
        <v>-0.71514468245020668</v>
      </c>
    </row>
    <row r="23" spans="1:6" ht="20" customHeight="1" x14ac:dyDescent="0.35">
      <c r="A23" s="111" t="s">
        <v>83</v>
      </c>
      <c r="B23" s="119">
        <v>245475</v>
      </c>
      <c r="C23" s="119">
        <v>257098</v>
      </c>
      <c r="D23" s="119">
        <v>286849</v>
      </c>
      <c r="E23" s="128">
        <f t="shared" si="2"/>
        <v>4.7349017211528732E-2</v>
      </c>
      <c r="F23" s="128">
        <f t="shared" si="3"/>
        <v>0.11571851978622938</v>
      </c>
    </row>
    <row r="24" spans="1:6" ht="20" customHeight="1" x14ac:dyDescent="0.35">
      <c r="A24" s="111" t="s">
        <v>84</v>
      </c>
      <c r="B24" s="119">
        <v>5932</v>
      </c>
      <c r="C24" s="119">
        <v>6556</v>
      </c>
      <c r="D24" s="119">
        <v>6215</v>
      </c>
      <c r="E24" s="128">
        <f t="shared" si="2"/>
        <v>0.105192178017532</v>
      </c>
      <c r="F24" s="128">
        <f t="shared" si="3"/>
        <v>-5.2013422818791955E-2</v>
      </c>
    </row>
    <row r="25" spans="1:6" ht="20" customHeight="1" x14ac:dyDescent="0.35">
      <c r="A25" s="111" t="s">
        <v>85</v>
      </c>
      <c r="B25" s="119">
        <v>208543</v>
      </c>
      <c r="C25" s="119">
        <v>170758</v>
      </c>
      <c r="D25" s="119">
        <v>174147</v>
      </c>
      <c r="E25" s="128">
        <f t="shared" si="2"/>
        <v>-0.18118565475705251</v>
      </c>
      <c r="F25" s="128">
        <f t="shared" si="3"/>
        <v>1.9846800735543901E-2</v>
      </c>
    </row>
    <row r="26" spans="1:6" ht="20" customHeight="1" x14ac:dyDescent="0.35">
      <c r="A26" s="111" t="s">
        <v>86</v>
      </c>
      <c r="B26" s="119">
        <v>6073</v>
      </c>
      <c r="C26" s="119">
        <v>6751</v>
      </c>
      <c r="D26" s="119">
        <v>7862</v>
      </c>
      <c r="E26" s="128">
        <f t="shared" si="2"/>
        <v>0.11164169273835012</v>
      </c>
      <c r="F26" s="128">
        <f t="shared" si="3"/>
        <v>0.16456821211672334</v>
      </c>
    </row>
    <row r="27" spans="1:6" ht="20" customHeight="1" x14ac:dyDescent="0.35">
      <c r="A27" s="111" t="s">
        <v>87</v>
      </c>
      <c r="B27" s="119">
        <v>38468</v>
      </c>
      <c r="C27" s="119">
        <v>45222</v>
      </c>
      <c r="D27" s="119">
        <v>50314</v>
      </c>
      <c r="E27" s="128">
        <f t="shared" si="2"/>
        <v>0.17557450348341486</v>
      </c>
      <c r="F27" s="128">
        <f t="shared" si="3"/>
        <v>0.11260006191676619</v>
      </c>
    </row>
    <row r="28" spans="1:6" ht="20" customHeight="1" x14ac:dyDescent="0.35">
      <c r="A28" s="111" t="s">
        <v>88</v>
      </c>
      <c r="B28" s="119">
        <v>3790</v>
      </c>
      <c r="C28" s="119">
        <v>4142</v>
      </c>
      <c r="D28" s="119">
        <v>4392</v>
      </c>
      <c r="E28" s="128">
        <f t="shared" si="2"/>
        <v>9.2875989445910356E-2</v>
      </c>
      <c r="F28" s="128">
        <f t="shared" si="3"/>
        <v>6.0357315306615256E-2</v>
      </c>
    </row>
    <row r="29" spans="1:6" ht="20" customHeight="1" x14ac:dyDescent="0.35">
      <c r="A29" s="112" t="s">
        <v>60</v>
      </c>
      <c r="B29" s="120">
        <v>5294</v>
      </c>
      <c r="C29" s="120">
        <v>5549</v>
      </c>
      <c r="D29" s="120">
        <v>5550</v>
      </c>
      <c r="E29" s="129">
        <f t="shared" si="2"/>
        <v>4.8167737060823557E-2</v>
      </c>
      <c r="F29" s="129">
        <f t="shared" si="3"/>
        <v>1.8021265092804661E-4</v>
      </c>
    </row>
    <row r="30" spans="1:6" ht="20" customHeight="1" x14ac:dyDescent="0.35">
      <c r="A30" s="80"/>
      <c r="B30" s="51"/>
      <c r="C30" s="51"/>
      <c r="D30" s="51"/>
      <c r="E30" s="95"/>
      <c r="F30" s="95"/>
    </row>
    <row r="31" spans="1:6" ht="20" customHeight="1" x14ac:dyDescent="0.35">
      <c r="A31" s="84" t="s">
        <v>89</v>
      </c>
      <c r="B31" s="69">
        <v>2663748</v>
      </c>
      <c r="C31" s="69">
        <v>2591499</v>
      </c>
      <c r="D31" s="69">
        <v>2704908</v>
      </c>
      <c r="E31" s="96">
        <f t="shared" ref="E31:F31" si="4">(C31/B31)-1</f>
        <v>-2.7123061190472919E-2</v>
      </c>
      <c r="F31" s="96">
        <f t="shared" si="4"/>
        <v>4.3761930836168528E-2</v>
      </c>
    </row>
    <row r="32" spans="1:6" ht="20" customHeight="1" x14ac:dyDescent="0.35">
      <c r="A32" s="80"/>
      <c r="B32" s="51"/>
      <c r="C32" s="51"/>
      <c r="D32" s="51"/>
      <c r="E32" s="95"/>
      <c r="F32" s="95"/>
    </row>
    <row r="33" spans="1:6" ht="20" customHeight="1" x14ac:dyDescent="0.35">
      <c r="A33" s="80"/>
      <c r="B33" s="51"/>
      <c r="C33" s="51"/>
      <c r="D33" s="51"/>
      <c r="E33" s="95"/>
      <c r="F33" s="95"/>
    </row>
    <row r="34" spans="1:6" ht="24" customHeight="1" x14ac:dyDescent="0.35">
      <c r="A34" s="107" t="s">
        <v>280</v>
      </c>
      <c r="B34" s="235">
        <v>44926</v>
      </c>
      <c r="C34" s="235">
        <v>45291</v>
      </c>
      <c r="D34" s="235">
        <v>45657</v>
      </c>
      <c r="E34" s="106" t="s">
        <v>54</v>
      </c>
      <c r="F34" s="106" t="s">
        <v>55</v>
      </c>
    </row>
    <row r="35" spans="1:6" ht="20" customHeight="1" x14ac:dyDescent="0.35">
      <c r="A35" s="80"/>
      <c r="B35" s="51"/>
      <c r="C35" s="51"/>
      <c r="D35" s="51"/>
      <c r="E35" s="95"/>
      <c r="F35" s="95"/>
    </row>
    <row r="36" spans="1:6" ht="20" customHeight="1" x14ac:dyDescent="0.35">
      <c r="A36" s="109" t="s">
        <v>90</v>
      </c>
      <c r="B36" s="121">
        <v>3054</v>
      </c>
      <c r="C36" s="121">
        <v>3374</v>
      </c>
      <c r="D36" s="121">
        <v>3366</v>
      </c>
      <c r="E36" s="126">
        <f t="shared" ref="E36:F36" si="5">(C36/B36)-1</f>
        <v>0.10478061558611662</v>
      </c>
      <c r="F36" s="126">
        <f t="shared" si="5"/>
        <v>-2.3710729104919892E-3</v>
      </c>
    </row>
    <row r="37" spans="1:6" ht="20" customHeight="1" x14ac:dyDescent="0.35">
      <c r="A37" s="110" t="s">
        <v>71</v>
      </c>
      <c r="B37" s="122"/>
      <c r="C37" s="122"/>
      <c r="D37" s="122"/>
      <c r="E37" s="127"/>
      <c r="F37" s="127"/>
    </row>
    <row r="38" spans="1:6" ht="20" customHeight="1" x14ac:dyDescent="0.35">
      <c r="A38" s="135" t="s">
        <v>106</v>
      </c>
      <c r="B38" s="119">
        <v>99155</v>
      </c>
      <c r="C38" s="119">
        <v>104910</v>
      </c>
      <c r="D38" s="119">
        <v>79958</v>
      </c>
      <c r="E38" s="128">
        <f t="shared" ref="E38:F44" si="6">(C38/B38)-1</f>
        <v>5.804044173264078E-2</v>
      </c>
      <c r="F38" s="128">
        <f t="shared" si="6"/>
        <v>-0.2378419597750453</v>
      </c>
    </row>
    <row r="39" spans="1:6" ht="20" customHeight="1" x14ac:dyDescent="0.35">
      <c r="A39" s="135" t="s">
        <v>105</v>
      </c>
      <c r="B39" s="119">
        <v>234076</v>
      </c>
      <c r="C39" s="119">
        <v>273614</v>
      </c>
      <c r="D39" s="119">
        <v>304817</v>
      </c>
      <c r="E39" s="128">
        <f t="shared" si="6"/>
        <v>0.16891095199849615</v>
      </c>
      <c r="F39" s="128">
        <f t="shared" si="6"/>
        <v>0.11404021724034585</v>
      </c>
    </row>
    <row r="40" spans="1:6" ht="20" customHeight="1" x14ac:dyDescent="0.35">
      <c r="A40" s="135" t="s">
        <v>104</v>
      </c>
      <c r="B40" s="119">
        <v>65578</v>
      </c>
      <c r="C40" s="119">
        <v>83763</v>
      </c>
      <c r="D40" s="119">
        <v>104934</v>
      </c>
      <c r="E40" s="128">
        <f t="shared" si="6"/>
        <v>0.27730336393302624</v>
      </c>
      <c r="F40" s="128">
        <f t="shared" si="6"/>
        <v>0.25274882704774182</v>
      </c>
    </row>
    <row r="41" spans="1:6" ht="20" customHeight="1" x14ac:dyDescent="0.35">
      <c r="A41" s="135" t="s">
        <v>102</v>
      </c>
      <c r="B41" s="119">
        <v>300121</v>
      </c>
      <c r="C41" s="119">
        <v>278892</v>
      </c>
      <c r="D41" s="119">
        <v>301953</v>
      </c>
      <c r="E41" s="128">
        <f t="shared" si="6"/>
        <v>-7.0734803629202925E-2</v>
      </c>
      <c r="F41" s="128">
        <f t="shared" si="6"/>
        <v>8.2687922206445608E-2</v>
      </c>
    </row>
    <row r="42" spans="1:6" ht="20" customHeight="1" x14ac:dyDescent="0.35">
      <c r="A42" s="135" t="s">
        <v>103</v>
      </c>
      <c r="B42" s="119">
        <v>40001</v>
      </c>
      <c r="C42" s="119">
        <v>38011</v>
      </c>
      <c r="D42" s="119">
        <v>36864</v>
      </c>
      <c r="E42" s="128">
        <f t="shared" si="6"/>
        <v>-4.9748756281092987E-2</v>
      </c>
      <c r="F42" s="128">
        <f t="shared" si="6"/>
        <v>-3.0175475520244133E-2</v>
      </c>
    </row>
    <row r="43" spans="1:6" ht="20" customHeight="1" x14ac:dyDescent="0.35">
      <c r="A43" s="110" t="s">
        <v>91</v>
      </c>
      <c r="B43" s="118"/>
      <c r="C43" s="118"/>
      <c r="D43" s="118"/>
      <c r="E43" s="127"/>
      <c r="F43" s="127"/>
    </row>
    <row r="44" spans="1:6" ht="20" customHeight="1" x14ac:dyDescent="0.35">
      <c r="A44" s="135" t="s">
        <v>101</v>
      </c>
      <c r="B44" s="119">
        <v>124718</v>
      </c>
      <c r="C44" s="119">
        <v>95175</v>
      </c>
      <c r="D44" s="119">
        <v>66872</v>
      </c>
      <c r="E44" s="128">
        <f t="shared" si="6"/>
        <v>-0.23687839766513252</v>
      </c>
      <c r="F44" s="128">
        <f t="shared" si="6"/>
        <v>-0.29737851326503806</v>
      </c>
    </row>
    <row r="45" spans="1:6" ht="20" customHeight="1" x14ac:dyDescent="0.35">
      <c r="A45" s="135" t="s">
        <v>100</v>
      </c>
      <c r="B45" s="119">
        <v>1008056</v>
      </c>
      <c r="C45" s="119">
        <v>988549</v>
      </c>
      <c r="D45" s="119">
        <v>1034857</v>
      </c>
      <c r="E45" s="128">
        <f t="shared" ref="E45:E53" si="7">(C45/B45)-1</f>
        <v>-1.9351107478155938E-2</v>
      </c>
      <c r="F45" s="128">
        <f t="shared" ref="F45:F53" si="8">(D45/C45)-1</f>
        <v>4.6844415400754125E-2</v>
      </c>
    </row>
    <row r="46" spans="1:6" ht="20" customHeight="1" x14ac:dyDescent="0.35">
      <c r="A46" s="135" t="s">
        <v>99</v>
      </c>
      <c r="B46" s="119">
        <v>155359</v>
      </c>
      <c r="C46" s="119">
        <v>191482</v>
      </c>
      <c r="D46" s="119">
        <v>198119</v>
      </c>
      <c r="E46" s="128">
        <f t="shared" si="7"/>
        <v>0.23251308260223102</v>
      </c>
      <c r="F46" s="128">
        <f t="shared" si="8"/>
        <v>3.4661221420290156E-2</v>
      </c>
    </row>
    <row r="47" spans="1:6" ht="20" customHeight="1" x14ac:dyDescent="0.35">
      <c r="A47" s="135" t="s">
        <v>98</v>
      </c>
      <c r="B47" s="119">
        <v>24160</v>
      </c>
      <c r="C47" s="119">
        <v>24743</v>
      </c>
      <c r="D47" s="119">
        <v>31799</v>
      </c>
      <c r="E47" s="128">
        <f t="shared" si="7"/>
        <v>2.4130794701986646E-2</v>
      </c>
      <c r="F47" s="128">
        <f t="shared" si="8"/>
        <v>0.28517156367457464</v>
      </c>
    </row>
    <row r="48" spans="1:6" ht="20" customHeight="1" x14ac:dyDescent="0.35">
      <c r="A48" s="111" t="s">
        <v>97</v>
      </c>
      <c r="B48" s="119">
        <v>-20201</v>
      </c>
      <c r="C48" s="119">
        <v>-14175</v>
      </c>
      <c r="D48" s="119">
        <v>-10696</v>
      </c>
      <c r="E48" s="128">
        <f t="shared" si="7"/>
        <v>-0.29830206425424488</v>
      </c>
      <c r="F48" s="128">
        <f t="shared" si="8"/>
        <v>-0.24543209876543215</v>
      </c>
    </row>
    <row r="49" spans="1:9" ht="20" customHeight="1" x14ac:dyDescent="0.35">
      <c r="A49" s="111" t="s">
        <v>96</v>
      </c>
      <c r="B49" s="119">
        <v>2979</v>
      </c>
      <c r="C49" s="119">
        <v>3821</v>
      </c>
      <c r="D49" s="119">
        <v>3657</v>
      </c>
      <c r="E49" s="128">
        <f t="shared" si="7"/>
        <v>0.28264518294729779</v>
      </c>
      <c r="F49" s="128">
        <f t="shared" si="8"/>
        <v>-4.2920701387071492E-2</v>
      </c>
    </row>
    <row r="50" spans="1:9" ht="20" customHeight="1" x14ac:dyDescent="0.35">
      <c r="A50" s="111" t="s">
        <v>95</v>
      </c>
      <c r="B50" s="119">
        <v>185010</v>
      </c>
      <c r="C50" s="119">
        <v>143673</v>
      </c>
      <c r="D50" s="119">
        <v>136955</v>
      </c>
      <c r="E50" s="128">
        <f t="shared" si="7"/>
        <v>-0.22343116588292522</v>
      </c>
      <c r="F50" s="128">
        <f t="shared" si="8"/>
        <v>-4.6758959581828186E-2</v>
      </c>
    </row>
    <row r="51" spans="1:9" ht="20" customHeight="1" x14ac:dyDescent="0.35">
      <c r="A51" s="111" t="s">
        <v>94</v>
      </c>
      <c r="B51" s="119">
        <v>209772</v>
      </c>
      <c r="C51" s="119">
        <v>218043</v>
      </c>
      <c r="D51" s="119">
        <v>247699</v>
      </c>
      <c r="E51" s="128">
        <f t="shared" si="7"/>
        <v>3.9428522395744015E-2</v>
      </c>
      <c r="F51" s="128">
        <f t="shared" si="8"/>
        <v>0.13600986961287442</v>
      </c>
    </row>
    <row r="52" spans="1:9" ht="20" customHeight="1" x14ac:dyDescent="0.35">
      <c r="A52" s="111" t="s">
        <v>93</v>
      </c>
      <c r="B52" s="119">
        <v>18858</v>
      </c>
      <c r="C52" s="119">
        <v>18239</v>
      </c>
      <c r="D52" s="119">
        <v>19807</v>
      </c>
      <c r="E52" s="128">
        <f t="shared" si="7"/>
        <v>-3.282426556368645E-2</v>
      </c>
      <c r="F52" s="128">
        <f t="shared" si="8"/>
        <v>8.5969625527715365E-2</v>
      </c>
    </row>
    <row r="53" spans="1:9" ht="20" customHeight="1" x14ac:dyDescent="0.35">
      <c r="A53" s="112" t="s">
        <v>92</v>
      </c>
      <c r="B53" s="120">
        <v>10040</v>
      </c>
      <c r="C53" s="120">
        <v>10518</v>
      </c>
      <c r="D53" s="120">
        <v>9806</v>
      </c>
      <c r="E53" s="129">
        <f t="shared" si="7"/>
        <v>4.7609561752988139E-2</v>
      </c>
      <c r="F53" s="129">
        <f t="shared" si="8"/>
        <v>-6.7693477847499572E-2</v>
      </c>
    </row>
    <row r="54" spans="1:9" ht="20" customHeight="1" x14ac:dyDescent="0.35">
      <c r="A54" s="80"/>
      <c r="B54" s="51"/>
      <c r="C54" s="51"/>
      <c r="D54" s="51"/>
      <c r="E54" s="95"/>
      <c r="F54" s="95"/>
    </row>
    <row r="55" spans="1:9" ht="20" customHeight="1" x14ac:dyDescent="0.35">
      <c r="A55" s="84" t="s">
        <v>68</v>
      </c>
      <c r="B55" s="69">
        <v>2537738</v>
      </c>
      <c r="C55" s="69">
        <v>2462632</v>
      </c>
      <c r="D55" s="69">
        <v>2570767</v>
      </c>
      <c r="E55" s="96">
        <f t="shared" ref="E55:F55" si="9">(C55/B55)-1</f>
        <v>-2.9595647777666545E-2</v>
      </c>
      <c r="F55" s="96">
        <f t="shared" si="9"/>
        <v>4.3910336582972942E-2</v>
      </c>
    </row>
    <row r="56" spans="1:9" ht="20" customHeight="1" x14ac:dyDescent="0.35">
      <c r="A56" s="80"/>
      <c r="B56" s="51"/>
      <c r="C56" s="51"/>
      <c r="D56" s="51"/>
      <c r="E56" s="95"/>
      <c r="F56" s="95"/>
    </row>
    <row r="57" spans="1:9" ht="24" customHeight="1" x14ac:dyDescent="0.35">
      <c r="A57" s="107" t="s">
        <v>281</v>
      </c>
      <c r="B57" s="235">
        <v>44926</v>
      </c>
      <c r="C57" s="235">
        <v>45291</v>
      </c>
      <c r="D57" s="235">
        <v>45657</v>
      </c>
      <c r="E57" s="106" t="s">
        <v>54</v>
      </c>
      <c r="F57" s="106" t="s">
        <v>55</v>
      </c>
    </row>
    <row r="58" spans="1:9" ht="20" customHeight="1" x14ac:dyDescent="0.35">
      <c r="A58" s="80"/>
      <c r="B58" s="51"/>
      <c r="C58" s="51"/>
      <c r="D58" s="51"/>
      <c r="E58" s="95"/>
      <c r="F58" s="95"/>
    </row>
    <row r="59" spans="1:9" ht="20" customHeight="1" x14ac:dyDescent="0.35">
      <c r="A59" s="109" t="s">
        <v>107</v>
      </c>
      <c r="B59" s="117">
        <v>115149</v>
      </c>
      <c r="C59" s="117">
        <v>115809</v>
      </c>
      <c r="D59" s="117">
        <v>118957</v>
      </c>
      <c r="E59" s="130">
        <f t="shared" ref="E59:E67" si="10">IFERROR(C59/B59-1,"")</f>
        <v>5.7317041398536883E-3</v>
      </c>
      <c r="F59" s="130">
        <f t="shared" ref="F59:F67" si="11">IFERROR(D59/C59-1,"")</f>
        <v>2.718268873749019E-2</v>
      </c>
    </row>
    <row r="60" spans="1:9" ht="20" customHeight="1" x14ac:dyDescent="0.35">
      <c r="A60" s="111" t="s">
        <v>1013</v>
      </c>
      <c r="B60" s="119">
        <v>10196</v>
      </c>
      <c r="C60" s="119">
        <v>10975</v>
      </c>
      <c r="D60" s="119">
        <v>11688</v>
      </c>
      <c r="E60" s="131">
        <f t="shared" si="10"/>
        <v>7.6402510788544431E-2</v>
      </c>
      <c r="F60" s="131">
        <f t="shared" si="11"/>
        <v>6.4965831435079835E-2</v>
      </c>
    </row>
    <row r="61" spans="1:9" ht="20" customHeight="1" x14ac:dyDescent="0.35">
      <c r="A61" s="111" t="s">
        <v>133</v>
      </c>
      <c r="B61" s="119">
        <v>125345</v>
      </c>
      <c r="C61" s="119">
        <v>126784</v>
      </c>
      <c r="D61" s="119">
        <v>130645</v>
      </c>
      <c r="E61" s="131">
        <f t="shared" si="10"/>
        <v>1.1480314332442454E-2</v>
      </c>
      <c r="F61" s="131">
        <f t="shared" si="11"/>
        <v>3.0453369510348383E-2</v>
      </c>
    </row>
    <row r="62" spans="1:9" ht="20" customHeight="1" x14ac:dyDescent="0.35">
      <c r="A62" s="111" t="s">
        <v>108</v>
      </c>
      <c r="B62" s="119">
        <v>-3553</v>
      </c>
      <c r="C62" s="119">
        <v>-3042</v>
      </c>
      <c r="D62" s="119">
        <v>-2508</v>
      </c>
      <c r="E62" s="131">
        <f t="shared" si="10"/>
        <v>-0.14382212215029555</v>
      </c>
      <c r="F62" s="131">
        <f t="shared" si="11"/>
        <v>-0.17554240631163709</v>
      </c>
    </row>
    <row r="63" spans="1:9" ht="20" customHeight="1" x14ac:dyDescent="0.35">
      <c r="A63" s="111" t="s">
        <v>109</v>
      </c>
      <c r="B63" s="119">
        <v>121792</v>
      </c>
      <c r="C63" s="119">
        <v>123742</v>
      </c>
      <c r="D63" s="119">
        <v>128137</v>
      </c>
      <c r="E63" s="131">
        <f t="shared" si="10"/>
        <v>1.6010903836048307E-2</v>
      </c>
      <c r="F63" s="131">
        <f t="shared" si="11"/>
        <v>3.5517447592571694E-2</v>
      </c>
      <c r="H63" s="8"/>
      <c r="I63" s="8"/>
    </row>
    <row r="64" spans="1:9" ht="20" customHeight="1" x14ac:dyDescent="0.35">
      <c r="A64" s="112" t="s">
        <v>110</v>
      </c>
      <c r="B64" s="120">
        <v>4763</v>
      </c>
      <c r="C64" s="120">
        <v>5125</v>
      </c>
      <c r="D64" s="120">
        <v>6004</v>
      </c>
      <c r="E64" s="132">
        <f t="shared" si="10"/>
        <v>7.6002519420533377E-2</v>
      </c>
      <c r="F64" s="132">
        <f t="shared" si="11"/>
        <v>0.17151219512195115</v>
      </c>
    </row>
    <row r="65" spans="1:6" ht="20" customHeight="1" x14ac:dyDescent="0.35">
      <c r="A65" s="80"/>
      <c r="B65" s="51"/>
      <c r="C65" s="51"/>
      <c r="D65" s="51"/>
      <c r="E65" s="95"/>
      <c r="F65" s="95"/>
    </row>
    <row r="66" spans="1:6" ht="20" customHeight="1" x14ac:dyDescent="0.35">
      <c r="A66" s="113" t="s">
        <v>69</v>
      </c>
      <c r="B66" s="123">
        <v>126555</v>
      </c>
      <c r="C66" s="123">
        <v>128867</v>
      </c>
      <c r="D66" s="123">
        <v>134141</v>
      </c>
      <c r="E66" s="133">
        <f t="shared" si="10"/>
        <v>1.8268736912804728E-2</v>
      </c>
      <c r="F66" s="133">
        <f t="shared" si="11"/>
        <v>4.0925915866746321E-2</v>
      </c>
    </row>
    <row r="67" spans="1:6" ht="20" customHeight="1" thickBot="1" x14ac:dyDescent="0.4">
      <c r="A67" s="115" t="s">
        <v>111</v>
      </c>
      <c r="B67" s="124">
        <v>2663748</v>
      </c>
      <c r="C67" s="124">
        <v>2591499</v>
      </c>
      <c r="D67" s="124">
        <v>2704908</v>
      </c>
      <c r="E67" s="134">
        <f t="shared" si="10"/>
        <v>-2.7123061190472919E-2</v>
      </c>
      <c r="F67" s="133">
        <f t="shared" si="11"/>
        <v>4.3761930836168528E-2</v>
      </c>
    </row>
    <row r="68" spans="1:6" ht="20" customHeight="1" thickTop="1" x14ac:dyDescent="0.35">
      <c r="A68" s="116" t="s">
        <v>282</v>
      </c>
      <c r="B68" s="125">
        <f>B31-B67</f>
        <v>0</v>
      </c>
      <c r="C68" s="125">
        <f>C31-C67</f>
        <v>0</v>
      </c>
      <c r="D68" s="125">
        <f>D31-D67</f>
        <v>0</v>
      </c>
      <c r="E68" s="35"/>
      <c r="F68" s="35"/>
    </row>
    <row r="69" spans="1:6" ht="20" customHeight="1" x14ac:dyDescent="0.35">
      <c r="B69" s="6"/>
    </row>
    <row r="70" spans="1:6" ht="20" customHeight="1" x14ac:dyDescent="0.35">
      <c r="B70" s="8"/>
      <c r="C70" s="8"/>
      <c r="D70" s="8"/>
      <c r="E70" s="8"/>
    </row>
    <row r="71" spans="1:6" ht="20" customHeight="1" x14ac:dyDescent="0.35">
      <c r="B71" s="7"/>
      <c r="C71" s="8"/>
      <c r="D71" s="8"/>
      <c r="E71" s="8"/>
    </row>
    <row r="72" spans="1:6" ht="20" customHeight="1" x14ac:dyDescent="0.35">
      <c r="B72" s="8"/>
      <c r="C72" s="8"/>
      <c r="D72" s="8"/>
    </row>
  </sheetData>
  <mergeCells count="4">
    <mergeCell ref="A1:F1"/>
    <mergeCell ref="A2:F2"/>
    <mergeCell ref="A3:F3"/>
    <mergeCell ref="A4:F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2334-ADC1-48A1-B82D-F0664528F8D9}">
  <sheetPr>
    <tabColor rgb="FF4472C4"/>
  </sheetPr>
  <dimension ref="A1:F61"/>
  <sheetViews>
    <sheetView showGridLines="0" topLeftCell="A55" zoomScaleNormal="100" workbookViewId="0">
      <selection activeCell="H57" sqref="H57"/>
    </sheetView>
  </sheetViews>
  <sheetFormatPr defaultRowHeight="20" customHeight="1" x14ac:dyDescent="0.35"/>
  <cols>
    <col min="1" max="1" width="47.26953125" style="1" customWidth="1"/>
    <col min="2" max="2" width="19.36328125" style="1" bestFit="1" customWidth="1"/>
    <col min="3" max="4" width="9.54296875" style="1" bestFit="1" customWidth="1"/>
    <col min="5" max="5" width="23.08984375" style="1" bestFit="1" customWidth="1"/>
    <col min="6" max="6" width="36.36328125" style="1" customWidth="1"/>
    <col min="7" max="16384" width="8.7265625" style="1"/>
  </cols>
  <sheetData>
    <row r="1" spans="1:6" ht="48" customHeight="1" x14ac:dyDescent="0.35">
      <c r="A1" s="291" t="s">
        <v>63</v>
      </c>
      <c r="B1" s="291"/>
      <c r="C1" s="291"/>
      <c r="D1" s="291"/>
      <c r="E1" s="291"/>
      <c r="F1" s="291"/>
    </row>
    <row r="2" spans="1:6" ht="24" customHeight="1" x14ac:dyDescent="0.35">
      <c r="A2" s="310" t="s">
        <v>283</v>
      </c>
      <c r="B2" s="310"/>
      <c r="C2" s="310"/>
      <c r="D2" s="310"/>
      <c r="E2" s="310"/>
      <c r="F2" s="310"/>
    </row>
    <row r="3" spans="1:6" ht="24" customHeight="1" x14ac:dyDescent="0.35">
      <c r="A3" s="293" t="s">
        <v>284</v>
      </c>
      <c r="B3" s="293"/>
      <c r="C3" s="293"/>
      <c r="D3" s="293"/>
      <c r="E3" s="293"/>
      <c r="F3" s="293"/>
    </row>
    <row r="4" spans="1:6" ht="40" customHeight="1" x14ac:dyDescent="0.35">
      <c r="A4" s="311" t="s">
        <v>285</v>
      </c>
      <c r="B4" s="311"/>
      <c r="C4" s="311"/>
      <c r="D4" s="311"/>
      <c r="E4" s="311"/>
      <c r="F4" s="311"/>
    </row>
    <row r="5" spans="1:6" ht="20" customHeight="1" x14ac:dyDescent="0.35">
      <c r="A5" s="12"/>
      <c r="B5" s="12"/>
      <c r="C5" s="12"/>
      <c r="D5" s="12"/>
      <c r="E5" s="12"/>
      <c r="F5" s="12"/>
    </row>
    <row r="6" spans="1:6" ht="20" customHeight="1" x14ac:dyDescent="0.35">
      <c r="A6" s="12"/>
      <c r="B6" s="12"/>
      <c r="C6" s="12"/>
      <c r="D6" s="12"/>
      <c r="E6" s="12"/>
      <c r="F6" s="12"/>
    </row>
    <row r="7" spans="1:6" ht="24" customHeight="1" x14ac:dyDescent="0.35">
      <c r="A7" s="17" t="s">
        <v>286</v>
      </c>
      <c r="B7" s="17" t="s">
        <v>0</v>
      </c>
      <c r="C7" s="17" t="s">
        <v>1</v>
      </c>
      <c r="D7" s="17" t="s">
        <v>2</v>
      </c>
      <c r="E7" s="17" t="s">
        <v>54</v>
      </c>
      <c r="F7" s="17" t="s">
        <v>55</v>
      </c>
    </row>
    <row r="8" spans="1:6" ht="20" customHeight="1" x14ac:dyDescent="0.35">
      <c r="A8" s="80"/>
      <c r="B8" s="35"/>
      <c r="C8" s="35"/>
      <c r="D8" s="35"/>
      <c r="E8" s="35"/>
      <c r="F8" s="35"/>
    </row>
    <row r="9" spans="1:6" ht="24" customHeight="1" x14ac:dyDescent="0.35">
      <c r="A9" s="81" t="s">
        <v>64</v>
      </c>
      <c r="B9" s="65"/>
      <c r="C9" s="65"/>
      <c r="D9" s="65"/>
      <c r="E9" s="65"/>
      <c r="F9" s="65"/>
    </row>
    <row r="10" spans="1:6" ht="20" customHeight="1" x14ac:dyDescent="0.35">
      <c r="A10" s="109" t="s">
        <v>114</v>
      </c>
      <c r="B10" s="117">
        <v>13214</v>
      </c>
      <c r="C10" s="117">
        <v>11725</v>
      </c>
      <c r="D10" s="117">
        <v>16188</v>
      </c>
      <c r="E10" s="126">
        <f>(C10/B10)-1</f>
        <v>-0.11268351748145911</v>
      </c>
      <c r="F10" s="126">
        <f>(D10/C10)-1</f>
        <v>0.38063965884861406</v>
      </c>
    </row>
    <row r="11" spans="1:6" ht="20" customHeight="1" x14ac:dyDescent="0.35">
      <c r="A11" s="111" t="s">
        <v>115</v>
      </c>
      <c r="B11" s="119">
        <v>823</v>
      </c>
      <c r="C11" s="119">
        <v>3658</v>
      </c>
      <c r="D11" s="119">
        <v>0</v>
      </c>
      <c r="E11" s="128">
        <f t="shared" ref="E11:F27" si="0">(C11/B11)-1</f>
        <v>3.4447144592952617</v>
      </c>
      <c r="F11" s="128">
        <f t="shared" ref="F11:F25" si="1">(D11/C11)-1</f>
        <v>-1</v>
      </c>
    </row>
    <row r="12" spans="1:6" ht="20" customHeight="1" x14ac:dyDescent="0.35">
      <c r="A12" s="111" t="s">
        <v>116</v>
      </c>
      <c r="B12" s="119">
        <v>21838</v>
      </c>
      <c r="C12" s="119">
        <v>8495</v>
      </c>
      <c r="D12" s="119">
        <v>11094</v>
      </c>
      <c r="E12" s="128">
        <f t="shared" si="0"/>
        <v>-0.610999175748695</v>
      </c>
      <c r="F12" s="128">
        <f t="shared" si="1"/>
        <v>0.30594467333725728</v>
      </c>
    </row>
    <row r="13" spans="1:6" ht="20" customHeight="1" x14ac:dyDescent="0.35">
      <c r="A13" s="135" t="s">
        <v>131</v>
      </c>
      <c r="B13" s="119">
        <v>6465</v>
      </c>
      <c r="C13" s="119">
        <v>6245</v>
      </c>
      <c r="D13" s="119">
        <v>7272</v>
      </c>
      <c r="E13" s="128">
        <f t="shared" si="0"/>
        <v>-3.402938901778807E-2</v>
      </c>
      <c r="F13" s="128">
        <f t="shared" si="1"/>
        <v>0.16445156124899918</v>
      </c>
    </row>
    <row r="14" spans="1:6" ht="20" customHeight="1" x14ac:dyDescent="0.35">
      <c r="A14" s="135" t="s">
        <v>117</v>
      </c>
      <c r="B14" s="119">
        <v>91</v>
      </c>
      <c r="C14" s="119">
        <v>-32</v>
      </c>
      <c r="D14" s="119">
        <v>21</v>
      </c>
      <c r="E14" s="128">
        <f t="shared" si="0"/>
        <v>-1.3516483516483517</v>
      </c>
      <c r="F14" s="128">
        <f t="shared" si="1"/>
        <v>-1.65625</v>
      </c>
    </row>
    <row r="15" spans="1:6" ht="20" customHeight="1" x14ac:dyDescent="0.35">
      <c r="A15" s="135" t="s">
        <v>118</v>
      </c>
      <c r="B15" s="119">
        <v>3193</v>
      </c>
      <c r="C15" s="119">
        <v>3646</v>
      </c>
      <c r="D15" s="119">
        <v>3023</v>
      </c>
      <c r="E15" s="128">
        <f t="shared" si="0"/>
        <v>0.14187284685248991</v>
      </c>
      <c r="F15" s="128">
        <f t="shared" si="1"/>
        <v>-0.17087218869994514</v>
      </c>
    </row>
    <row r="16" spans="1:6" ht="20" customHeight="1" x14ac:dyDescent="0.35">
      <c r="A16" s="135" t="s">
        <v>119</v>
      </c>
      <c r="B16" s="119">
        <v>-837</v>
      </c>
      <c r="C16" s="119">
        <v>-6240</v>
      </c>
      <c r="D16" s="119">
        <v>3181</v>
      </c>
      <c r="E16" s="128">
        <f t="shared" si="0"/>
        <v>6.4551971326164876</v>
      </c>
      <c r="F16" s="128">
        <f t="shared" si="1"/>
        <v>-1.5097756410256409</v>
      </c>
    </row>
    <row r="17" spans="1:6" ht="20" customHeight="1" x14ac:dyDescent="0.35">
      <c r="A17" s="135" t="s">
        <v>120</v>
      </c>
      <c r="B17" s="119">
        <v>-655</v>
      </c>
      <c r="C17" s="119">
        <v>-593</v>
      </c>
      <c r="D17" s="119">
        <v>-701</v>
      </c>
      <c r="E17" s="128">
        <f t="shared" si="0"/>
        <v>-9.4656488549618278E-2</v>
      </c>
      <c r="F17" s="128">
        <f t="shared" si="1"/>
        <v>0.18212478920741981</v>
      </c>
    </row>
    <row r="18" spans="1:6" ht="20" customHeight="1" x14ac:dyDescent="0.35">
      <c r="A18" s="135" t="s">
        <v>635</v>
      </c>
      <c r="B18" s="119">
        <v>265</v>
      </c>
      <c r="C18" s="119">
        <v>-3600</v>
      </c>
      <c r="D18" s="119">
        <v>-277</v>
      </c>
      <c r="E18" s="128">
        <f t="shared" si="0"/>
        <v>-14.584905660377359</v>
      </c>
      <c r="F18" s="128">
        <f t="shared" si="1"/>
        <v>-0.92305555555555552</v>
      </c>
    </row>
    <row r="19" spans="1:6" ht="20" customHeight="1" x14ac:dyDescent="0.35">
      <c r="A19" s="135" t="s">
        <v>636</v>
      </c>
      <c r="B19" s="119">
        <v>-1192</v>
      </c>
      <c r="C19" s="119">
        <v>506</v>
      </c>
      <c r="D19" s="119">
        <v>-604</v>
      </c>
      <c r="E19" s="128">
        <f t="shared" si="0"/>
        <v>-1.424496644295302</v>
      </c>
      <c r="F19" s="128">
        <f>(D19/C19)-1</f>
        <v>-2.1936758893280635</v>
      </c>
    </row>
    <row r="20" spans="1:6" ht="20" customHeight="1" x14ac:dyDescent="0.35">
      <c r="A20" s="135" t="s">
        <v>121</v>
      </c>
      <c r="B20" s="119">
        <v>14508</v>
      </c>
      <c r="C20" s="119">
        <v>8563</v>
      </c>
      <c r="D20" s="119">
        <v>-821</v>
      </c>
      <c r="E20" s="128">
        <f t="shared" si="0"/>
        <v>-0.40977391783843398</v>
      </c>
      <c r="F20" s="128">
        <f t="shared" ref="F20:F24" si="2">(D20/C20)-1</f>
        <v>-1.095877612986103</v>
      </c>
    </row>
    <row r="21" spans="1:6" ht="20" customHeight="1" x14ac:dyDescent="0.35">
      <c r="A21" s="111" t="s">
        <v>130</v>
      </c>
      <c r="B21" s="119">
        <v>-88712</v>
      </c>
      <c r="C21" s="119">
        <v>-58119</v>
      </c>
      <c r="D21" s="119">
        <v>-124658</v>
      </c>
      <c r="E21" s="128">
        <f t="shared" si="0"/>
        <v>-0.34485751645775098</v>
      </c>
      <c r="F21" s="128">
        <f t="shared" si="2"/>
        <v>1.1448751699100121</v>
      </c>
    </row>
    <row r="22" spans="1:6" ht="20" customHeight="1" x14ac:dyDescent="0.35">
      <c r="A22" s="135" t="s">
        <v>122</v>
      </c>
      <c r="B22" s="119">
        <v>-46438</v>
      </c>
      <c r="C22" s="119">
        <v>-7751</v>
      </c>
      <c r="D22" s="119">
        <v>-8672</v>
      </c>
      <c r="E22" s="128">
        <f t="shared" si="0"/>
        <v>-0.83308928033076357</v>
      </c>
      <c r="F22" s="128">
        <f t="shared" si="2"/>
        <v>0.11882337762869311</v>
      </c>
    </row>
    <row r="23" spans="1:6" ht="20" customHeight="1" x14ac:dyDescent="0.35">
      <c r="A23" s="135" t="s">
        <v>123</v>
      </c>
      <c r="B23" s="119">
        <v>-30212</v>
      </c>
      <c r="C23" s="119">
        <v>-32712</v>
      </c>
      <c r="D23" s="119">
        <v>-102669</v>
      </c>
      <c r="E23" s="128">
        <f t="shared" si="0"/>
        <v>8.2748576724480438E-2</v>
      </c>
      <c r="F23" s="128">
        <f t="shared" si="2"/>
        <v>2.1385730007336758</v>
      </c>
    </row>
    <row r="24" spans="1:6" ht="20" customHeight="1" x14ac:dyDescent="0.35">
      <c r="A24" s="135" t="s">
        <v>132</v>
      </c>
      <c r="B24" s="119">
        <v>-10063</v>
      </c>
      <c r="C24" s="119">
        <v>-14297</v>
      </c>
      <c r="D24" s="119">
        <v>-10184</v>
      </c>
      <c r="E24" s="128">
        <f t="shared" si="0"/>
        <v>0.42074927953890495</v>
      </c>
      <c r="F24" s="128">
        <f t="shared" si="2"/>
        <v>-0.28768273064279215</v>
      </c>
    </row>
    <row r="25" spans="1:6" ht="20" customHeight="1" x14ac:dyDescent="0.35">
      <c r="A25" s="112" t="s">
        <v>124</v>
      </c>
      <c r="B25" s="120">
        <v>-1999</v>
      </c>
      <c r="C25" s="120">
        <v>-3359</v>
      </c>
      <c r="D25" s="120">
        <v>-3133</v>
      </c>
      <c r="E25" s="129">
        <f t="shared" si="0"/>
        <v>0.68034017008504244</v>
      </c>
      <c r="F25" s="129">
        <f t="shared" si="1"/>
        <v>-6.7281929145579067E-2</v>
      </c>
    </row>
    <row r="26" spans="1:6" ht="20" customHeight="1" x14ac:dyDescent="0.35">
      <c r="A26" s="80"/>
      <c r="B26" s="51"/>
      <c r="C26" s="51"/>
      <c r="D26" s="51"/>
      <c r="E26" s="95"/>
      <c r="F26" s="95"/>
    </row>
    <row r="27" spans="1:6" ht="20" customHeight="1" x14ac:dyDescent="0.35">
      <c r="A27" s="87" t="s">
        <v>67</v>
      </c>
      <c r="B27" s="137">
        <v>-52837</v>
      </c>
      <c r="C27" s="137">
        <v>-34241</v>
      </c>
      <c r="D27" s="137">
        <v>-97376</v>
      </c>
      <c r="E27" s="96">
        <f t="shared" si="0"/>
        <v>-0.35195033783144392</v>
      </c>
      <c r="F27" s="96">
        <f t="shared" si="0"/>
        <v>1.8438421775064979</v>
      </c>
    </row>
    <row r="28" spans="1:6" ht="20" customHeight="1" x14ac:dyDescent="0.35">
      <c r="A28" s="80"/>
      <c r="B28" s="51"/>
      <c r="C28" s="51"/>
      <c r="D28" s="51"/>
      <c r="E28" s="95"/>
      <c r="F28" s="95"/>
    </row>
    <row r="29" spans="1:6" ht="24" customHeight="1" x14ac:dyDescent="0.35">
      <c r="A29" s="81" t="s">
        <v>65</v>
      </c>
      <c r="B29" s="72"/>
      <c r="C29" s="72"/>
      <c r="D29" s="72"/>
      <c r="E29" s="97"/>
      <c r="F29" s="97"/>
    </row>
    <row r="30" spans="1:6" ht="20" customHeight="1" x14ac:dyDescent="0.35">
      <c r="A30" s="109" t="s">
        <v>125</v>
      </c>
      <c r="B30" s="117">
        <v>366</v>
      </c>
      <c r="C30" s="117">
        <v>9520</v>
      </c>
      <c r="D30" s="117">
        <v>1956</v>
      </c>
      <c r="E30" s="126">
        <f t="shared" ref="E30" si="3">(C30/B30)-1</f>
        <v>25.010928961748633</v>
      </c>
      <c r="F30" s="126">
        <f t="shared" ref="F30" si="4">(D30/C30)-1</f>
        <v>-0.79453781512605048</v>
      </c>
    </row>
    <row r="31" spans="1:6" ht="20" customHeight="1" x14ac:dyDescent="0.35">
      <c r="A31" s="112" t="s">
        <v>126</v>
      </c>
      <c r="B31" s="120">
        <v>-2529</v>
      </c>
      <c r="C31" s="120">
        <v>-2216</v>
      </c>
      <c r="D31" s="120">
        <v>-2136</v>
      </c>
      <c r="E31" s="129">
        <f t="shared" ref="E31" si="5">(C31/B31)-1</f>
        <v>-0.12376433372874651</v>
      </c>
      <c r="F31" s="129">
        <f t="shared" ref="F31" si="6">(D31/C31)-1</f>
        <v>-3.6101083032490933E-2</v>
      </c>
    </row>
    <row r="32" spans="1:6" ht="20" customHeight="1" x14ac:dyDescent="0.35">
      <c r="A32" s="80"/>
      <c r="B32" s="51"/>
      <c r="C32" s="51"/>
      <c r="D32" s="51"/>
      <c r="E32" s="95"/>
      <c r="F32" s="95"/>
    </row>
    <row r="33" spans="1:6" ht="20" customHeight="1" x14ac:dyDescent="0.35">
      <c r="A33" s="84" t="s">
        <v>112</v>
      </c>
      <c r="B33" s="69">
        <f>B30+B31</f>
        <v>-2163</v>
      </c>
      <c r="C33" s="69">
        <f>C30+C31</f>
        <v>7304</v>
      </c>
      <c r="D33" s="69">
        <f>D30+D31</f>
        <v>-180</v>
      </c>
      <c r="E33" s="96">
        <f t="shared" ref="E33" si="7">(C33/B33)-1</f>
        <v>-4.3767914932963476</v>
      </c>
      <c r="F33" s="96">
        <f t="shared" ref="F33" si="8">(D33/C33)-1</f>
        <v>-1.024644030668127</v>
      </c>
    </row>
    <row r="34" spans="1:6" ht="20" customHeight="1" x14ac:dyDescent="0.35">
      <c r="A34" s="80"/>
      <c r="B34" s="51"/>
      <c r="C34" s="51"/>
      <c r="D34" s="51"/>
      <c r="E34" s="95"/>
      <c r="F34" s="95"/>
    </row>
    <row r="35" spans="1:6" ht="24" customHeight="1" x14ac:dyDescent="0.35">
      <c r="A35" s="81" t="s">
        <v>66</v>
      </c>
      <c r="B35" s="72"/>
      <c r="C35" s="72"/>
      <c r="D35" s="72"/>
      <c r="E35" s="97"/>
      <c r="F35" s="97"/>
    </row>
    <row r="36" spans="1:6" ht="20" customHeight="1" x14ac:dyDescent="0.35">
      <c r="A36" s="109" t="s">
        <v>127</v>
      </c>
      <c r="B36" s="117">
        <v>-2578</v>
      </c>
      <c r="C36" s="117">
        <v>-8698</v>
      </c>
      <c r="D36" s="117">
        <v>-8756</v>
      </c>
      <c r="E36" s="126">
        <f t="shared" ref="E36" si="9">(C36/B36)-1</f>
        <v>2.3739332816136538</v>
      </c>
      <c r="F36" s="126">
        <f t="shared" ref="F36" si="10">(D36/C36)-1</f>
        <v>6.668199586111756E-3</v>
      </c>
    </row>
    <row r="37" spans="1:6" ht="20" customHeight="1" x14ac:dyDescent="0.35">
      <c r="A37" s="112" t="s">
        <v>128</v>
      </c>
      <c r="B37" s="120">
        <v>11828</v>
      </c>
      <c r="C37" s="120">
        <v>4022</v>
      </c>
      <c r="D37" s="120">
        <v>2338</v>
      </c>
      <c r="E37" s="129">
        <f t="shared" ref="E37" si="11">(C37/B37)-1</f>
        <v>-0.65995941832938787</v>
      </c>
      <c r="F37" s="129">
        <f t="shared" ref="F37" si="12">(D37/C37)-1</f>
        <v>-0.41869716558925907</v>
      </c>
    </row>
    <row r="38" spans="1:6" ht="20" customHeight="1" x14ac:dyDescent="0.35">
      <c r="A38" s="80"/>
      <c r="B38" s="51"/>
      <c r="C38" s="51"/>
      <c r="D38" s="51"/>
      <c r="E38" s="95"/>
      <c r="F38" s="95"/>
    </row>
    <row r="39" spans="1:6" ht="20" customHeight="1" x14ac:dyDescent="0.35">
      <c r="A39" s="144" t="s">
        <v>113</v>
      </c>
      <c r="B39" s="138">
        <f>B36+B37</f>
        <v>9250</v>
      </c>
      <c r="C39" s="138">
        <f t="shared" ref="C39:D39" si="13">C36+C37</f>
        <v>-4676</v>
      </c>
      <c r="D39" s="138">
        <f t="shared" si="13"/>
        <v>-6418</v>
      </c>
      <c r="E39" s="133">
        <f t="shared" ref="E39:E41" si="14">(C39/B39)-1</f>
        <v>-1.5055135135135136</v>
      </c>
      <c r="F39" s="133">
        <f t="shared" ref="F39:F41" si="15">(D39/C39)-1</f>
        <v>0.37254063301967499</v>
      </c>
    </row>
    <row r="40" spans="1:6" s="2" customFormat="1" ht="20" customHeight="1" x14ac:dyDescent="0.35">
      <c r="A40" s="145" t="s">
        <v>150</v>
      </c>
      <c r="B40" s="139">
        <v>1030</v>
      </c>
      <c r="C40" s="139">
        <v>-3506</v>
      </c>
      <c r="D40" s="139">
        <v>-393</v>
      </c>
      <c r="E40" s="140">
        <f t="shared" si="14"/>
        <v>-4.4038834951456316</v>
      </c>
      <c r="F40" s="140">
        <f t="shared" si="15"/>
        <v>-0.88790644609241298</v>
      </c>
    </row>
    <row r="41" spans="1:6" ht="20" customHeight="1" x14ac:dyDescent="0.35">
      <c r="A41" s="114" t="s">
        <v>129</v>
      </c>
      <c r="B41" s="141">
        <v>-44720</v>
      </c>
      <c r="C41" s="141">
        <v>-35119</v>
      </c>
      <c r="D41" s="141">
        <v>-104367</v>
      </c>
      <c r="E41" s="134">
        <f t="shared" si="14"/>
        <v>-0.21469141323792484</v>
      </c>
      <c r="F41" s="133">
        <f t="shared" si="15"/>
        <v>1.9718101312679748</v>
      </c>
    </row>
    <row r="42" spans="1:6" ht="20" customHeight="1" x14ac:dyDescent="0.35">
      <c r="A42" s="80"/>
      <c r="B42" s="51"/>
      <c r="C42" s="51"/>
      <c r="D42" s="51"/>
      <c r="E42" s="95"/>
      <c r="F42" s="95"/>
    </row>
    <row r="43" spans="1:6" ht="20" customHeight="1" x14ac:dyDescent="0.35">
      <c r="A43" s="80"/>
      <c r="B43" s="51"/>
      <c r="C43" s="51"/>
      <c r="D43" s="51"/>
      <c r="E43" s="95"/>
      <c r="F43" s="95"/>
    </row>
    <row r="44" spans="1:6" ht="24" customHeight="1" x14ac:dyDescent="0.35">
      <c r="A44" s="373" t="s">
        <v>1158</v>
      </c>
      <c r="B44" s="374" t="s">
        <v>0</v>
      </c>
      <c r="C44" s="374" t="s">
        <v>1</v>
      </c>
      <c r="D44" s="374" t="s">
        <v>2</v>
      </c>
      <c r="E44" s="375" t="s">
        <v>54</v>
      </c>
      <c r="F44" s="375" t="s">
        <v>55</v>
      </c>
    </row>
    <row r="45" spans="1:6" ht="20" customHeight="1" x14ac:dyDescent="0.35">
      <c r="A45" s="146" t="s">
        <v>1159</v>
      </c>
      <c r="B45" s="382">
        <v>362418</v>
      </c>
      <c r="C45" s="382">
        <v>317698</v>
      </c>
      <c r="D45" s="382">
        <v>282579</v>
      </c>
      <c r="E45" s="151">
        <f>IFERROR(C45/B45-1,"")</f>
        <v>-0.12339342968616351</v>
      </c>
      <c r="F45" s="151">
        <f>IFERROR(D45/C45-1,"")</f>
        <v>-0.11054208713935876</v>
      </c>
    </row>
    <row r="46" spans="1:6" ht="20" customHeight="1" x14ac:dyDescent="0.35">
      <c r="A46" s="147" t="s">
        <v>1160</v>
      </c>
      <c r="B46" s="383">
        <f>B41</f>
        <v>-44720</v>
      </c>
      <c r="C46" s="383">
        <f>C41</f>
        <v>-35119</v>
      </c>
      <c r="D46" s="383">
        <f>D41</f>
        <v>-104367</v>
      </c>
      <c r="E46" s="99">
        <f>IFERROR(C46/B46-1,"")</f>
        <v>-0.21469141323792484</v>
      </c>
      <c r="F46" s="99">
        <f>IFERROR(D46/C46-1,"")</f>
        <v>1.9718101312679748</v>
      </c>
    </row>
    <row r="47" spans="1:6" ht="20" customHeight="1" x14ac:dyDescent="0.35">
      <c r="A47" s="148" t="s">
        <v>1161</v>
      </c>
      <c r="B47" s="384">
        <f>B45+B46</f>
        <v>317698</v>
      </c>
      <c r="C47" s="384">
        <f>C45+C46</f>
        <v>282579</v>
      </c>
      <c r="D47" s="384">
        <f>D45+D46</f>
        <v>178212</v>
      </c>
      <c r="E47" s="99">
        <f>IFERROR(C47/B47-1,"")</f>
        <v>-0.11054208713935876</v>
      </c>
      <c r="F47" s="99">
        <f>IFERROR(D47/C47-1,"")</f>
        <v>-0.36933742422473004</v>
      </c>
    </row>
    <row r="48" spans="1:6" ht="20" customHeight="1" x14ac:dyDescent="0.35">
      <c r="A48" s="348" t="s">
        <v>1162</v>
      </c>
      <c r="B48" s="385">
        <v>317698</v>
      </c>
      <c r="C48" s="385">
        <v>282579</v>
      </c>
      <c r="D48" s="385">
        <v>178212</v>
      </c>
      <c r="E48" s="349">
        <f>IFERROR(C48/B48-1,"")</f>
        <v>-0.11054208713935876</v>
      </c>
      <c r="F48" s="349">
        <f>IFERROR(D48/C48-1,"")</f>
        <v>-0.36933742422473004</v>
      </c>
    </row>
    <row r="49" spans="1:6" ht="20" customHeight="1" x14ac:dyDescent="0.35">
      <c r="A49" s="149" t="s">
        <v>1163</v>
      </c>
      <c r="B49" s="344">
        <f>B47-B48</f>
        <v>0</v>
      </c>
      <c r="C49" s="344">
        <f>C47-C48</f>
        <v>0</v>
      </c>
      <c r="D49" s="344">
        <f>D47-D48</f>
        <v>0</v>
      </c>
      <c r="E49" s="153" t="s">
        <v>1164</v>
      </c>
      <c r="F49" s="346" t="s">
        <v>1165</v>
      </c>
    </row>
    <row r="50" spans="1:6" ht="20" customHeight="1" x14ac:dyDescent="0.35">
      <c r="A50" s="80"/>
      <c r="B50" s="345"/>
      <c r="C50" s="345"/>
      <c r="D50" s="345"/>
      <c r="E50" s="154"/>
      <c r="F50" s="347"/>
    </row>
    <row r="51" spans="1:6" ht="20" customHeight="1" x14ac:dyDescent="0.35">
      <c r="A51" s="376" t="s">
        <v>1166</v>
      </c>
      <c r="B51" s="377" t="s">
        <v>0</v>
      </c>
      <c r="C51" s="377" t="s">
        <v>1</v>
      </c>
      <c r="D51" s="377" t="s">
        <v>2</v>
      </c>
      <c r="E51" s="378" t="s">
        <v>149</v>
      </c>
      <c r="F51" s="379" t="s">
        <v>1167</v>
      </c>
    </row>
    <row r="52" spans="1:6" ht="31" customHeight="1" x14ac:dyDescent="0.35">
      <c r="A52" s="81" t="s">
        <v>1168</v>
      </c>
      <c r="B52" s="350">
        <v>318581</v>
      </c>
      <c r="C52" s="350">
        <v>288279</v>
      </c>
      <c r="D52" s="350">
        <v>182511</v>
      </c>
      <c r="E52" s="397" t="s">
        <v>1174</v>
      </c>
      <c r="F52" s="398" t="s">
        <v>1177</v>
      </c>
    </row>
    <row r="53" spans="1:6" ht="20" customHeight="1" x14ac:dyDescent="0.35">
      <c r="A53" s="80" t="s">
        <v>1169</v>
      </c>
      <c r="B53" s="345">
        <v>-3054</v>
      </c>
      <c r="C53" s="345">
        <v>-3374</v>
      </c>
      <c r="D53" s="345">
        <v>-3366</v>
      </c>
      <c r="E53" s="154" t="s">
        <v>1174</v>
      </c>
      <c r="F53" s="347" t="s">
        <v>1177</v>
      </c>
    </row>
    <row r="54" spans="1:6" ht="24" customHeight="1" x14ac:dyDescent="0.35">
      <c r="A54" s="17" t="s">
        <v>1170</v>
      </c>
      <c r="B54" s="386">
        <v>11927</v>
      </c>
      <c r="C54" s="386">
        <v>8352</v>
      </c>
      <c r="D54" s="386">
        <v>9482</v>
      </c>
      <c r="E54" s="17" t="s">
        <v>1174</v>
      </c>
      <c r="F54" s="161" t="s">
        <v>1177</v>
      </c>
    </row>
    <row r="55" spans="1:6" ht="20" customHeight="1" x14ac:dyDescent="0.35">
      <c r="A55" s="150" t="s">
        <v>1171</v>
      </c>
      <c r="B55" s="387">
        <v>-12538</v>
      </c>
      <c r="C55" s="387">
        <v>-10770</v>
      </c>
      <c r="D55" s="387">
        <v>-10608</v>
      </c>
      <c r="E55" s="155" t="s">
        <v>1174</v>
      </c>
      <c r="F55" s="392" t="s">
        <v>1177</v>
      </c>
    </row>
    <row r="56" spans="1:6" ht="20" customHeight="1" x14ac:dyDescent="0.35">
      <c r="A56" s="90" t="s">
        <v>1172</v>
      </c>
      <c r="B56" s="388">
        <v>2782</v>
      </c>
      <c r="C56" s="388">
        <v>92</v>
      </c>
      <c r="D56" s="388">
        <v>193</v>
      </c>
      <c r="E56" s="156" t="s">
        <v>1175</v>
      </c>
      <c r="F56" s="393" t="s">
        <v>1177</v>
      </c>
    </row>
    <row r="57" spans="1:6" ht="33" customHeight="1" x14ac:dyDescent="0.35">
      <c r="A57" s="2" t="s">
        <v>1173</v>
      </c>
      <c r="B57" s="381">
        <f>SUM(B52:B56)-B48</f>
        <v>0</v>
      </c>
      <c r="C57" s="381">
        <f>SUM(C52:C56)-C48</f>
        <v>0</v>
      </c>
      <c r="D57" s="381">
        <f>SUM(D52:D56)-D48</f>
        <v>0</v>
      </c>
      <c r="E57" s="2" t="s">
        <v>145</v>
      </c>
      <c r="F57" s="394" t="s">
        <v>1176</v>
      </c>
    </row>
    <row r="58" spans="1:6" ht="20" customHeight="1" x14ac:dyDescent="0.35">
      <c r="B58" s="372"/>
      <c r="C58" s="372"/>
      <c r="D58" s="372"/>
    </row>
    <row r="59" spans="1:6" ht="20" customHeight="1" x14ac:dyDescent="0.35">
      <c r="A59" s="380" t="s">
        <v>146</v>
      </c>
      <c r="B59" s="389" t="s">
        <v>904</v>
      </c>
      <c r="C59" s="389" t="s">
        <v>1</v>
      </c>
      <c r="D59" s="389" t="s">
        <v>2</v>
      </c>
      <c r="E59" s="380" t="s">
        <v>54</v>
      </c>
      <c r="F59" s="380" t="s">
        <v>55</v>
      </c>
    </row>
    <row r="60" spans="1:6" ht="20" customHeight="1" x14ac:dyDescent="0.35">
      <c r="A60" s="1" t="s">
        <v>1178</v>
      </c>
      <c r="B60" s="372">
        <v>2578</v>
      </c>
      <c r="C60" s="372">
        <v>8698</v>
      </c>
      <c r="D60" s="372">
        <v>8756</v>
      </c>
      <c r="E60" s="391">
        <f>IFERROR(C60/B60-1,"")</f>
        <v>2.3739332816136538</v>
      </c>
      <c r="F60" s="391">
        <f>IFERROR(D60/C60-1,"")</f>
        <v>6.668199586111756E-3</v>
      </c>
    </row>
    <row r="61" spans="1:6" ht="20" customHeight="1" x14ac:dyDescent="0.35">
      <c r="A61" s="1" t="s">
        <v>1179</v>
      </c>
      <c r="B61" s="390">
        <f>B60/'📄 INCOME_STATEMENT'!B44</f>
        <v>0.26177904142973191</v>
      </c>
      <c r="C61" s="390">
        <f>C60/'📄 INCOME_STATEMENT'!C44</f>
        <v>0.79252847380410019</v>
      </c>
      <c r="D61" s="390">
        <f>D60/'📄 INCOME_STATEMENT'!D44</f>
        <v>0.74914442162902117</v>
      </c>
      <c r="E61" s="391">
        <f>C61-B61</f>
        <v>0.53074943237436822</v>
      </c>
      <c r="F61" s="391">
        <f>D61-C61</f>
        <v>-4.3384052175079013E-2</v>
      </c>
    </row>
  </sheetData>
  <mergeCells count="4">
    <mergeCell ref="A1:F1"/>
    <mergeCell ref="A2:F2"/>
    <mergeCell ref="A3:F3"/>
    <mergeCell ref="A4:F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C7444-5E24-4A7C-A687-CA346D418466}">
  <sheetPr>
    <tabColor rgb="FFED7D31"/>
  </sheetPr>
  <dimension ref="A1:M62"/>
  <sheetViews>
    <sheetView showGridLines="0" workbookViewId="0">
      <selection activeCell="G31" sqref="G31"/>
    </sheetView>
  </sheetViews>
  <sheetFormatPr defaultRowHeight="14.5" x14ac:dyDescent="0.35"/>
  <cols>
    <col min="1" max="1" width="42.7265625" style="1" customWidth="1"/>
    <col min="2" max="2" width="12" style="1" bestFit="1" customWidth="1"/>
    <col min="3" max="3" width="17.1796875" style="1" bestFit="1" customWidth="1"/>
    <col min="4" max="4" width="10.1796875" style="1" bestFit="1" customWidth="1"/>
    <col min="5" max="5" width="30.26953125" style="1" bestFit="1" customWidth="1"/>
    <col min="6" max="6" width="11.36328125" style="1" customWidth="1"/>
    <col min="7" max="7" width="12" style="1" customWidth="1"/>
    <col min="8" max="8" width="13.81640625" style="1" customWidth="1"/>
    <col min="9" max="9" width="11.6328125" style="1" customWidth="1"/>
    <col min="10" max="12" width="8.7265625" style="1"/>
    <col min="13" max="13" width="9.26953125" style="1" bestFit="1" customWidth="1"/>
    <col min="14" max="16384" width="8.7265625" style="1"/>
  </cols>
  <sheetData>
    <row r="1" spans="1:13" ht="48" customHeight="1" x14ac:dyDescent="0.35">
      <c r="A1" s="291" t="s">
        <v>287</v>
      </c>
      <c r="B1" s="291"/>
      <c r="C1" s="291"/>
      <c r="D1" s="291"/>
      <c r="E1" s="291"/>
      <c r="F1" s="291"/>
      <c r="G1" s="291"/>
      <c r="H1" s="291"/>
      <c r="I1" s="291"/>
      <c r="J1"/>
      <c r="K1"/>
      <c r="L1"/>
      <c r="M1"/>
    </row>
    <row r="2" spans="1:13" ht="24" customHeight="1" x14ac:dyDescent="0.35">
      <c r="A2" s="292" t="s">
        <v>288</v>
      </c>
      <c r="B2" s="292"/>
      <c r="C2" s="292"/>
      <c r="D2" s="292"/>
      <c r="E2" s="292"/>
      <c r="F2" s="292"/>
      <c r="G2" s="292"/>
      <c r="H2" s="292"/>
      <c r="I2" s="292"/>
      <c r="J2"/>
      <c r="K2"/>
      <c r="L2"/>
      <c r="M2"/>
    </row>
    <row r="3" spans="1:13" ht="24" customHeight="1" x14ac:dyDescent="0.35">
      <c r="A3" s="293" t="s">
        <v>289</v>
      </c>
      <c r="B3" s="293"/>
      <c r="C3" s="293"/>
      <c r="D3" s="293"/>
      <c r="E3" s="293"/>
      <c r="F3" s="293"/>
      <c r="G3" s="293"/>
      <c r="H3" s="293"/>
      <c r="I3" s="293"/>
      <c r="J3"/>
      <c r="K3"/>
      <c r="L3"/>
      <c r="M3"/>
    </row>
    <row r="4" spans="1:13" ht="40" customHeight="1" x14ac:dyDescent="0.35">
      <c r="A4" s="311" t="s">
        <v>968</v>
      </c>
      <c r="B4" s="311"/>
      <c r="C4" s="311"/>
      <c r="D4" s="311"/>
      <c r="E4" s="311"/>
      <c r="F4" s="311"/>
      <c r="G4" s="311"/>
      <c r="H4" s="311"/>
      <c r="I4" s="311"/>
      <c r="J4"/>
      <c r="K4"/>
      <c r="L4"/>
      <c r="M4"/>
    </row>
    <row r="5" spans="1:13" x14ac:dyDescent="0.35">
      <c r="A5" s="12"/>
      <c r="B5" s="12"/>
      <c r="C5" s="12"/>
      <c r="D5" s="12"/>
      <c r="E5" s="12"/>
      <c r="F5" s="12"/>
      <c r="G5" s="12"/>
      <c r="H5" s="12"/>
      <c r="I5" s="12"/>
      <c r="J5"/>
      <c r="K5"/>
      <c r="L5"/>
      <c r="M5"/>
    </row>
    <row r="6" spans="1:13" ht="24" customHeight="1" x14ac:dyDescent="0.35">
      <c r="A6" s="294" t="s">
        <v>167</v>
      </c>
      <c r="B6" s="294"/>
      <c r="C6" s="294"/>
      <c r="D6" s="294"/>
      <c r="E6" s="294"/>
      <c r="F6" s="12"/>
      <c r="G6" s="12"/>
      <c r="H6" s="12"/>
      <c r="I6" s="12"/>
      <c r="J6"/>
      <c r="K6"/>
      <c r="L6"/>
      <c r="M6"/>
    </row>
    <row r="7" spans="1:13" x14ac:dyDescent="0.35">
      <c r="A7" s="17" t="s">
        <v>290</v>
      </c>
      <c r="B7" s="17" t="s">
        <v>291</v>
      </c>
      <c r="C7" s="17" t="s">
        <v>292</v>
      </c>
      <c r="D7" s="17" t="s">
        <v>293</v>
      </c>
      <c r="E7" s="17" t="s">
        <v>294</v>
      </c>
      <c r="F7" s="12"/>
      <c r="G7" s="12"/>
      <c r="H7" s="12"/>
      <c r="I7" s="12"/>
      <c r="J7"/>
      <c r="K7"/>
      <c r="L7"/>
      <c r="M7"/>
    </row>
    <row r="8" spans="1:13" x14ac:dyDescent="0.35">
      <c r="A8" s="162" t="s">
        <v>960</v>
      </c>
      <c r="B8" s="163">
        <f>'📄 INCOME_STATEMENT'!B44</f>
        <v>9848</v>
      </c>
      <c r="C8" s="163">
        <f>B8</f>
        <v>9848</v>
      </c>
      <c r="D8" s="164" t="s">
        <v>963</v>
      </c>
      <c r="E8" s="165" t="s">
        <v>302</v>
      </c>
      <c r="F8" s="12"/>
      <c r="G8" s="12"/>
      <c r="H8" s="12"/>
      <c r="I8" s="12"/>
      <c r="J8"/>
      <c r="K8"/>
      <c r="L8"/>
      <c r="M8"/>
    </row>
    <row r="9" spans="1:13" x14ac:dyDescent="0.35">
      <c r="A9" s="108" t="s">
        <v>168</v>
      </c>
      <c r="B9" s="159">
        <f>'📄 INCOME_STATEMENT'!C10-'📄 INCOME_STATEMENT'!B10</f>
        <v>-1875</v>
      </c>
      <c r="C9" s="159">
        <f>C8+B9</f>
        <v>7973</v>
      </c>
      <c r="D9" s="171" t="str">
        <f>IF(B9&gt;0,"Positive",IF(B9&lt;0,"Negative","Neutral"))</f>
        <v>Negative</v>
      </c>
      <c r="E9" s="160" t="s">
        <v>303</v>
      </c>
      <c r="F9" s="12"/>
      <c r="G9" s="12"/>
      <c r="H9" s="12"/>
      <c r="I9" s="12"/>
      <c r="J9"/>
      <c r="K9"/>
      <c r="L9"/>
      <c r="M9"/>
    </row>
    <row r="10" spans="1:13" x14ac:dyDescent="0.35">
      <c r="A10" s="108" t="s">
        <v>169</v>
      </c>
      <c r="B10" s="159">
        <f>'📄 INCOME_STATEMENT'!C11-'📄 INCOME_STATEMENT'!B11</f>
        <v>-344</v>
      </c>
      <c r="C10" s="159">
        <f>C9+B10</f>
        <v>7629</v>
      </c>
      <c r="D10" s="171" t="str">
        <f>IF(B10&gt;0,"Positive",IF(B10&lt;0,"Negative","Neutral"))</f>
        <v>Negative</v>
      </c>
      <c r="E10" s="160" t="s">
        <v>304</v>
      </c>
      <c r="F10" s="12"/>
      <c r="G10" s="12"/>
      <c r="H10" s="12"/>
      <c r="I10" s="12"/>
      <c r="J10"/>
      <c r="K10"/>
      <c r="L10"/>
      <c r="M10"/>
    </row>
    <row r="11" spans="1:13" x14ac:dyDescent="0.35">
      <c r="A11" s="108" t="s">
        <v>170</v>
      </c>
      <c r="B11" s="159">
        <f>'📄 INCOME_STATEMENT'!C12-'📄 INCOME_STATEMENT'!B12</f>
        <v>994</v>
      </c>
      <c r="C11" s="159">
        <f>C10+B11</f>
        <v>8623</v>
      </c>
      <c r="D11" s="172" t="str">
        <f>IF(B11&gt;0,"Positive",IF(B11&lt;0,"Negative","Neutral"))</f>
        <v>Positive</v>
      </c>
      <c r="E11" s="160" t="s">
        <v>305</v>
      </c>
      <c r="F11" s="12"/>
      <c r="G11" s="12"/>
      <c r="H11" s="12"/>
      <c r="I11" s="12"/>
      <c r="J11"/>
      <c r="K11"/>
      <c r="L11"/>
      <c r="M11"/>
    </row>
    <row r="12" spans="1:13" x14ac:dyDescent="0.35">
      <c r="A12" s="108" t="s">
        <v>295</v>
      </c>
      <c r="B12" s="159">
        <f>'📄 INCOME_STATEMENT'!C13-'📄 INCOME_STATEMENT'!B13</f>
        <v>1253</v>
      </c>
      <c r="C12" s="159">
        <f>C11+B12</f>
        <v>9876</v>
      </c>
      <c r="D12" s="172" t="str">
        <f>IF(B12&gt;0,"Positive",IF(B12&lt;0,"Negative","Neutral"))</f>
        <v>Positive</v>
      </c>
      <c r="E12" s="160" t="s">
        <v>306</v>
      </c>
      <c r="F12" s="12"/>
      <c r="G12" s="12"/>
      <c r="H12" s="12"/>
      <c r="I12" s="12"/>
      <c r="J12"/>
      <c r="K12"/>
      <c r="L12"/>
      <c r="M12"/>
    </row>
    <row r="13" spans="1:13" x14ac:dyDescent="0.35">
      <c r="A13" s="108" t="s">
        <v>296</v>
      </c>
      <c r="B13" s="159">
        <f>('📄 INCOME_STATEMENT'!C15-SUM('📄 INCOME_STATEMENT'!C10:C13))-('📄 INCOME_STATEMENT'!B15-SUM('📄 INCOME_STATEMENT'!B10:B13))</f>
        <v>416</v>
      </c>
      <c r="C13" s="159">
        <f>C12+B13</f>
        <v>10292</v>
      </c>
      <c r="D13" s="172" t="str">
        <f>IF(B13&gt;0,"Positive",IF(B13&lt;0,"Negative","Neutral"))</f>
        <v>Positive</v>
      </c>
      <c r="E13" s="160" t="s">
        <v>307</v>
      </c>
      <c r="F13" s="12"/>
      <c r="G13" s="12"/>
      <c r="H13" s="12"/>
      <c r="I13" s="12"/>
      <c r="J13"/>
      <c r="K13"/>
      <c r="L13"/>
      <c r="M13"/>
    </row>
    <row r="14" spans="1:13" x14ac:dyDescent="0.35">
      <c r="A14" s="108" t="s">
        <v>297</v>
      </c>
      <c r="B14" s="159">
        <f>-('📄 INCOME_STATEMENT'!C22-'📄 INCOME_STATEMENT'!B22)</f>
        <v>-1092</v>
      </c>
      <c r="C14" s="159">
        <f>C13+B14</f>
        <v>9200</v>
      </c>
      <c r="D14" s="171" t="str">
        <f>IF(B14&gt;0,"Positive",IF(B14&lt;0,"Negative","Neutral"))</f>
        <v>Negative</v>
      </c>
      <c r="E14" s="160" t="s">
        <v>965</v>
      </c>
      <c r="F14" s="12"/>
      <c r="G14" s="12"/>
      <c r="H14" s="12"/>
      <c r="I14" s="12"/>
      <c r="J14"/>
      <c r="K14"/>
      <c r="L14"/>
      <c r="M14"/>
    </row>
    <row r="15" spans="1:13" x14ac:dyDescent="0.35">
      <c r="A15" s="108" t="s">
        <v>961</v>
      </c>
      <c r="B15" s="159">
        <f>-('📄 INCOME_STATEMENT'!C27-'📄 INCOME_STATEMENT'!B27)</f>
        <v>96</v>
      </c>
      <c r="C15" s="159">
        <f>C14+B15</f>
        <v>9296</v>
      </c>
      <c r="D15" s="171" t="str">
        <f>IF(B15&gt;0,"Positive",IF(B15&lt;0,"Negative","Neutral"))</f>
        <v>Positive</v>
      </c>
      <c r="E15" s="160" t="s">
        <v>966</v>
      </c>
      <c r="F15" s="12"/>
      <c r="G15" s="12"/>
      <c r="H15" s="12"/>
      <c r="I15" s="12"/>
      <c r="J15"/>
      <c r="K15"/>
      <c r="L15"/>
      <c r="M15"/>
    </row>
    <row r="16" spans="1:13" ht="26" x14ac:dyDescent="0.35">
      <c r="A16" s="108" t="s">
        <v>962</v>
      </c>
      <c r="B16" s="159">
        <f>-('📄 INCOME_STATEMENT'!C28-'📄 INCOME_STATEMENT'!B28)</f>
        <v>-775</v>
      </c>
      <c r="C16" s="159">
        <f>C15+B16</f>
        <v>8521</v>
      </c>
      <c r="D16" s="171" t="str">
        <f>IF(B16&gt;0,"Positive",IF(B16&lt;0,"Negative","Neutral"))</f>
        <v>Negative</v>
      </c>
      <c r="E16" s="160" t="s">
        <v>967</v>
      </c>
      <c r="F16" s="12"/>
      <c r="G16" s="12"/>
      <c r="H16" s="12"/>
      <c r="I16" s="12"/>
      <c r="J16"/>
      <c r="K16"/>
      <c r="L16"/>
      <c r="M16"/>
    </row>
    <row r="17" spans="1:13" ht="26" x14ac:dyDescent="0.35">
      <c r="A17" s="108" t="s">
        <v>298</v>
      </c>
      <c r="B17" s="159">
        <f>('📄 INCOME_STATEMENT'!C33+'📄 INCOME_STATEMENT'!C34+'📄 INCOME_STATEMENT'!C35)-('📄 INCOME_STATEMENT'!B33+'📄 INCOME_STATEMENT'!B34+'📄 INCOME_STATEMENT'!B35)</f>
        <v>-162</v>
      </c>
      <c r="C17" s="159">
        <f>C16+B17</f>
        <v>8359</v>
      </c>
      <c r="D17" s="172" t="str">
        <f>IF(B17&gt;0,"Positive",IF(B17&lt;0,"Negative","Neutral"))</f>
        <v>Negative</v>
      </c>
      <c r="E17" s="160" t="s">
        <v>308</v>
      </c>
      <c r="F17" s="12"/>
      <c r="G17" s="12"/>
      <c r="H17" s="12"/>
      <c r="I17" s="12"/>
      <c r="J17"/>
      <c r="K17"/>
      <c r="L17"/>
      <c r="M17"/>
    </row>
    <row r="18" spans="1:13" x14ac:dyDescent="0.35">
      <c r="A18" s="108" t="s">
        <v>299</v>
      </c>
      <c r="B18" s="159">
        <f>-('📄 INCOME_STATEMENT'!C39-'📄 INCOME_STATEMENT'!B39)</f>
        <v>387</v>
      </c>
      <c r="C18" s="159">
        <f>C17+B18</f>
        <v>8746</v>
      </c>
      <c r="D18" s="172" t="str">
        <f>IF(B18&gt;0,"Positive",IF(B18&lt;0,"Negative","Neutral"))</f>
        <v>Positive</v>
      </c>
      <c r="E18" s="160" t="s">
        <v>309</v>
      </c>
      <c r="F18" s="12"/>
      <c r="G18" s="12"/>
      <c r="H18" s="12"/>
      <c r="I18" s="12"/>
      <c r="J18"/>
      <c r="K18"/>
      <c r="L18"/>
      <c r="M18"/>
    </row>
    <row r="19" spans="1:13" x14ac:dyDescent="0.35">
      <c r="A19" s="166" t="s">
        <v>300</v>
      </c>
      <c r="B19" s="167">
        <f>('📄 INCOME_STATEMENT'!C44-'📄 INCOME_STATEMENT'!B44)-SUM(B9:B18)</f>
        <v>2229</v>
      </c>
      <c r="C19" s="167">
        <f>C18+B19</f>
        <v>10975</v>
      </c>
      <c r="D19" s="168" t="str">
        <f>IF(B19&gt;0,"Positive",IF(B19&lt;0,"Negative","Neutral"))</f>
        <v>Positive</v>
      </c>
      <c r="E19" s="169" t="s">
        <v>310</v>
      </c>
      <c r="F19" s="12"/>
      <c r="G19" s="12"/>
      <c r="H19" s="12"/>
      <c r="I19" s="12"/>
      <c r="J19"/>
      <c r="K19"/>
      <c r="L19"/>
      <c r="M19"/>
    </row>
    <row r="20" spans="1:13" x14ac:dyDescent="0.35">
      <c r="A20" s="136" t="s">
        <v>301</v>
      </c>
      <c r="B20" s="170">
        <f>'📄 INCOME_STATEMENT'!C44</f>
        <v>10975</v>
      </c>
      <c r="C20" s="170">
        <f>B20</f>
        <v>10975</v>
      </c>
      <c r="D20" s="31" t="s">
        <v>964</v>
      </c>
      <c r="E20" s="33" t="s">
        <v>302</v>
      </c>
      <c r="F20" s="12"/>
      <c r="G20" s="12"/>
      <c r="H20" s="12"/>
      <c r="I20" s="12"/>
      <c r="J20"/>
      <c r="K20"/>
      <c r="L20"/>
      <c r="M20"/>
    </row>
    <row r="21" spans="1:13" x14ac:dyDescent="0.35">
      <c r="A21" s="12" t="s">
        <v>311</v>
      </c>
      <c r="B21" s="51">
        <f>C19-B20</f>
        <v>0</v>
      </c>
      <c r="C21" s="51" t="str">
        <f>IF(B21=0,"PASS","CHECK")</f>
        <v>PASS</v>
      </c>
      <c r="D21" s="36"/>
      <c r="E21" s="37"/>
      <c r="F21" s="12"/>
      <c r="G21" s="12"/>
      <c r="H21" s="12"/>
      <c r="I21" s="12"/>
      <c r="J21"/>
      <c r="K21"/>
      <c r="L21"/>
      <c r="M21"/>
    </row>
    <row r="22" spans="1:13" x14ac:dyDescent="0.35">
      <c r="A22" s="12"/>
      <c r="B22" s="51"/>
      <c r="C22" s="51"/>
      <c r="D22" s="36"/>
      <c r="E22" s="37"/>
      <c r="F22" s="12"/>
      <c r="G22" s="12"/>
      <c r="H22" s="12"/>
      <c r="I22" s="12"/>
      <c r="J22"/>
      <c r="K22"/>
      <c r="L22"/>
      <c r="M22"/>
    </row>
    <row r="23" spans="1:13" ht="24" customHeight="1" x14ac:dyDescent="0.35">
      <c r="A23" s="294" t="s">
        <v>171</v>
      </c>
      <c r="B23" s="308"/>
      <c r="C23" s="308"/>
      <c r="D23" s="312"/>
      <c r="E23" s="313"/>
      <c r="F23" s="12"/>
      <c r="G23" s="12"/>
      <c r="H23" s="12"/>
      <c r="I23" s="12"/>
      <c r="J23"/>
      <c r="K23"/>
      <c r="L23"/>
      <c r="M23"/>
    </row>
    <row r="24" spans="1:13" x14ac:dyDescent="0.35">
      <c r="A24" s="17" t="s">
        <v>290</v>
      </c>
      <c r="B24" s="142" t="s">
        <v>291</v>
      </c>
      <c r="C24" s="142" t="s">
        <v>292</v>
      </c>
      <c r="D24" s="17" t="s">
        <v>293</v>
      </c>
      <c r="E24" s="161" t="s">
        <v>294</v>
      </c>
      <c r="F24" s="12"/>
      <c r="G24" s="12"/>
      <c r="H24" s="12"/>
      <c r="I24" s="12"/>
      <c r="J24"/>
      <c r="K24"/>
      <c r="L24"/>
      <c r="M24"/>
    </row>
    <row r="25" spans="1:13" x14ac:dyDescent="0.35">
      <c r="A25" s="162" t="s">
        <v>312</v>
      </c>
      <c r="B25" s="163">
        <f>'📄 INCOME_STATEMENT'!C44</f>
        <v>10975</v>
      </c>
      <c r="C25" s="163">
        <f>B25</f>
        <v>10975</v>
      </c>
      <c r="D25" s="164" t="s">
        <v>964</v>
      </c>
      <c r="E25" s="165" t="s">
        <v>302</v>
      </c>
      <c r="F25" s="12"/>
      <c r="G25" s="12"/>
      <c r="H25" s="12"/>
      <c r="I25" s="12"/>
      <c r="J25"/>
      <c r="K25"/>
      <c r="L25"/>
      <c r="M25"/>
    </row>
    <row r="26" spans="1:13" x14ac:dyDescent="0.35">
      <c r="A26" s="108" t="s">
        <v>168</v>
      </c>
      <c r="B26" s="159">
        <f>'📄 INCOME_STATEMENT'!D10-'📄 INCOME_STATEMENT'!C10</f>
        <v>466</v>
      </c>
      <c r="C26" s="159">
        <f>C25+B26</f>
        <v>11441</v>
      </c>
      <c r="D26" s="172" t="str">
        <f>IF(B26&gt;0,"Positive",IF(B26&lt;0,"Negative","Neutral"))</f>
        <v>Positive</v>
      </c>
      <c r="E26" s="160" t="s">
        <v>303</v>
      </c>
      <c r="F26" s="12"/>
      <c r="G26" s="12"/>
      <c r="H26" s="12"/>
      <c r="I26" s="12"/>
      <c r="J26"/>
      <c r="K26"/>
      <c r="L26"/>
      <c r="M26"/>
    </row>
    <row r="27" spans="1:13" x14ac:dyDescent="0.35">
      <c r="A27" s="108" t="s">
        <v>169</v>
      </c>
      <c r="B27" s="159">
        <f>'📄 INCOME_STATEMENT'!D11-'📄 INCOME_STATEMENT'!C11</f>
        <v>880</v>
      </c>
      <c r="C27" s="159">
        <f>C26+B27</f>
        <v>12321</v>
      </c>
      <c r="D27" s="172" t="str">
        <f>IF(B27&gt;0,"Positive",IF(B27&lt;0,"Negative","Neutral"))</f>
        <v>Positive</v>
      </c>
      <c r="E27" s="160" t="s">
        <v>304</v>
      </c>
      <c r="F27" s="12"/>
      <c r="G27" s="12"/>
      <c r="H27" s="12"/>
      <c r="I27" s="12"/>
      <c r="J27"/>
      <c r="K27"/>
      <c r="L27"/>
      <c r="M27"/>
    </row>
    <row r="28" spans="1:13" x14ac:dyDescent="0.35">
      <c r="A28" s="108" t="s">
        <v>170</v>
      </c>
      <c r="B28" s="159">
        <f>'📄 INCOME_STATEMENT'!D12-'📄 INCOME_STATEMENT'!C12</f>
        <v>1223</v>
      </c>
      <c r="C28" s="159">
        <f>C27+B28</f>
        <v>13544</v>
      </c>
      <c r="D28" s="172" t="str">
        <f>IF(B28&gt;0,"Positive",IF(B28&lt;0,"Negative","Neutral"))</f>
        <v>Positive</v>
      </c>
      <c r="E28" s="160" t="s">
        <v>305</v>
      </c>
      <c r="F28" s="12"/>
      <c r="G28" s="12"/>
      <c r="H28" s="12"/>
      <c r="I28" s="12"/>
      <c r="J28"/>
      <c r="K28"/>
      <c r="L28"/>
      <c r="M28"/>
    </row>
    <row r="29" spans="1:13" x14ac:dyDescent="0.35">
      <c r="A29" s="108" t="s">
        <v>295</v>
      </c>
      <c r="B29" s="159">
        <f>'📄 INCOME_STATEMENT'!D13-'📄 INCOME_STATEMENT'!C13</f>
        <v>142</v>
      </c>
      <c r="C29" s="159">
        <f>C28+B29</f>
        <v>13686</v>
      </c>
      <c r="D29" s="172" t="str">
        <f>IF(B29&gt;0,"Positive",IF(B29&lt;0,"Negative","Neutral"))</f>
        <v>Positive</v>
      </c>
      <c r="E29" s="160" t="s">
        <v>306</v>
      </c>
      <c r="F29" s="12"/>
      <c r="G29" s="12"/>
      <c r="H29" s="12"/>
      <c r="I29" s="12"/>
      <c r="J29"/>
      <c r="K29"/>
      <c r="L29"/>
      <c r="M29"/>
    </row>
    <row r="30" spans="1:13" x14ac:dyDescent="0.35">
      <c r="A30" s="108" t="s">
        <v>296</v>
      </c>
      <c r="B30" s="159">
        <f>('📄 INCOME_STATEMENT'!D15-SUM('📄 INCOME_STATEMENT'!D10:D13))-('📄 INCOME_STATEMENT'!C15-SUM('📄 INCOME_STATEMENT'!C10:C13))</f>
        <v>246</v>
      </c>
      <c r="C30" s="159">
        <f>C29+B30</f>
        <v>13932</v>
      </c>
      <c r="D30" s="172" t="str">
        <f>IF(B30&gt;0,"Positive",IF(B30&lt;0,"Negative","Neutral"))</f>
        <v>Positive</v>
      </c>
      <c r="E30" s="160" t="s">
        <v>307</v>
      </c>
      <c r="F30" s="12"/>
      <c r="G30" s="12"/>
      <c r="H30" s="12"/>
      <c r="I30" s="12"/>
      <c r="J30"/>
      <c r="K30"/>
      <c r="L30"/>
      <c r="M30"/>
    </row>
    <row r="31" spans="1:13" x14ac:dyDescent="0.35">
      <c r="A31" s="108" t="s">
        <v>297</v>
      </c>
      <c r="B31" s="159">
        <f>-('📄 INCOME_STATEMENT'!D22-'📄 INCOME_STATEMENT'!C22)</f>
        <v>763</v>
      </c>
      <c r="C31" s="159">
        <f>C30+B31</f>
        <v>14695</v>
      </c>
      <c r="D31" s="172" t="str">
        <f>IF(B31&gt;0,"Positive",IF(B31&lt;0,"Negative","Neutral"))</f>
        <v>Positive</v>
      </c>
      <c r="E31" s="160" t="s">
        <v>965</v>
      </c>
      <c r="F31" s="12"/>
      <c r="G31" s="12"/>
      <c r="H31" s="12"/>
      <c r="I31" s="12"/>
      <c r="J31"/>
      <c r="K31"/>
      <c r="L31"/>
      <c r="M31"/>
    </row>
    <row r="32" spans="1:13" x14ac:dyDescent="0.35">
      <c r="A32" s="108" t="s">
        <v>961</v>
      </c>
      <c r="B32" s="159">
        <f>-('📄 INCOME_STATEMENT'!D27-'📄 INCOME_STATEMENT'!C27)</f>
        <v>-92</v>
      </c>
      <c r="C32" s="159">
        <f>C31+B32</f>
        <v>14603</v>
      </c>
      <c r="D32" s="172" t="str">
        <f>IF(B32&gt;0,"Positive",IF(B32&lt;0,"Negative","Neutral"))</f>
        <v>Negative</v>
      </c>
      <c r="E32" s="160" t="s">
        <v>966</v>
      </c>
      <c r="F32" s="12"/>
      <c r="G32" s="12"/>
      <c r="H32" s="12"/>
      <c r="I32" s="12"/>
      <c r="J32"/>
      <c r="K32"/>
      <c r="L32"/>
      <c r="M32"/>
    </row>
    <row r="33" spans="1:13" ht="26" x14ac:dyDescent="0.35">
      <c r="A33" s="160" t="s">
        <v>962</v>
      </c>
      <c r="B33" s="159">
        <f>-('📄 INCOME_STATEMENT'!D28-'📄 INCOME_STATEMENT'!C28)</f>
        <v>573</v>
      </c>
      <c r="C33" s="159">
        <f>C32+B33</f>
        <v>15176</v>
      </c>
      <c r="D33" s="172" t="str">
        <f>IF(B33&gt;0,"Positive",IF(B33&lt;0,"Negative","Neutral"))</f>
        <v>Positive</v>
      </c>
      <c r="E33" s="160" t="s">
        <v>967</v>
      </c>
      <c r="F33" s="12"/>
      <c r="G33" s="12"/>
      <c r="H33" s="12"/>
      <c r="I33" s="12"/>
      <c r="J33"/>
      <c r="K33"/>
      <c r="L33"/>
      <c r="M33"/>
    </row>
    <row r="34" spans="1:13" x14ac:dyDescent="0.35">
      <c r="A34" s="108" t="s">
        <v>298</v>
      </c>
      <c r="B34" s="159">
        <f>('📄 INCOME_STATEMENT'!D33+'📄 INCOME_STATEMENT'!D34+'📄 INCOME_STATEMENT'!D35)-('📄 INCOME_STATEMENT'!C33+'📄 INCOME_STATEMENT'!C34+'📄 INCOME_STATEMENT'!C35)</f>
        <v>262</v>
      </c>
      <c r="C34" s="159">
        <f>C33+B34</f>
        <v>15438</v>
      </c>
      <c r="D34" s="171" t="str">
        <f>IF(B34&gt;0,"Positive",IF(B34&lt;0,"Negative","Neutral"))</f>
        <v>Positive</v>
      </c>
      <c r="E34" s="160" t="s">
        <v>308</v>
      </c>
      <c r="F34" s="12"/>
      <c r="G34" s="12"/>
      <c r="H34" s="12"/>
      <c r="I34" s="12"/>
      <c r="J34"/>
      <c r="K34"/>
      <c r="L34"/>
      <c r="M34"/>
    </row>
    <row r="35" spans="1:13" x14ac:dyDescent="0.35">
      <c r="A35" s="108" t="s">
        <v>299</v>
      </c>
      <c r="B35" s="159">
        <f>-('📄 INCOME_STATEMENT'!D39-'📄 INCOME_STATEMENT'!C39)</f>
        <v>-735</v>
      </c>
      <c r="C35" s="159">
        <f>C34+B35</f>
        <v>14703</v>
      </c>
      <c r="D35" s="171" t="str">
        <f>IF(B35&gt;0,"Positive",IF(B35&lt;0,"Negative","Neutral"))</f>
        <v>Negative</v>
      </c>
      <c r="E35" s="160" t="s">
        <v>309</v>
      </c>
      <c r="F35" s="12"/>
      <c r="G35" s="12"/>
      <c r="H35" s="12"/>
      <c r="I35" s="12"/>
      <c r="J35"/>
      <c r="K35"/>
      <c r="L35"/>
      <c r="M35"/>
    </row>
    <row r="36" spans="1:13" x14ac:dyDescent="0.35">
      <c r="A36" s="166" t="s">
        <v>300</v>
      </c>
      <c r="B36" s="167">
        <f>('📄 INCOME_STATEMENT'!D44-'📄 INCOME_STATEMENT'!C44)-SUM(B26:B35)</f>
        <v>-3015</v>
      </c>
      <c r="C36" s="167">
        <f>C35+B36</f>
        <v>11688</v>
      </c>
      <c r="D36" s="168" t="str">
        <f>IF(B36&gt;0,"Positive",IF(B36&lt;0,"Negative","Neutral"))</f>
        <v>Negative</v>
      </c>
      <c r="E36" s="169" t="s">
        <v>310</v>
      </c>
      <c r="F36" s="12"/>
      <c r="G36" s="12"/>
      <c r="H36" s="12"/>
      <c r="I36" s="12"/>
      <c r="J36"/>
      <c r="K36"/>
      <c r="L36"/>
      <c r="M36"/>
    </row>
    <row r="37" spans="1:13" x14ac:dyDescent="0.35">
      <c r="A37" s="136" t="s">
        <v>313</v>
      </c>
      <c r="B37" s="170">
        <f>'📄 INCOME_STATEMENT'!D44</f>
        <v>11688</v>
      </c>
      <c r="C37" s="170">
        <f>B37</f>
        <v>11688</v>
      </c>
      <c r="D37" s="136" t="s">
        <v>964</v>
      </c>
      <c r="E37" s="136" t="s">
        <v>302</v>
      </c>
      <c r="F37" s="12"/>
      <c r="G37" s="12"/>
      <c r="H37" s="12"/>
      <c r="I37" s="12"/>
      <c r="J37"/>
      <c r="K37"/>
      <c r="L37"/>
      <c r="M37"/>
    </row>
    <row r="38" spans="1:13" x14ac:dyDescent="0.35">
      <c r="A38" s="12" t="s">
        <v>311</v>
      </c>
      <c r="B38" s="339">
        <f>C36-B37</f>
        <v>0</v>
      </c>
      <c r="C38" s="12" t="str">
        <f>IF(B38=0,"PASS","CHECK")</f>
        <v>PASS</v>
      </c>
      <c r="D38" s="12"/>
      <c r="E38" s="12"/>
      <c r="F38" s="12"/>
      <c r="G38" s="12"/>
      <c r="H38" s="12"/>
      <c r="I38" s="12"/>
      <c r="J38"/>
      <c r="K38"/>
      <c r="L38"/>
      <c r="M38"/>
    </row>
    <row r="39" spans="1:13" x14ac:dyDescent="0.35">
      <c r="A39" s="12"/>
      <c r="B39" s="12"/>
      <c r="C39" s="12"/>
      <c r="D39" s="12"/>
      <c r="E39" s="12"/>
      <c r="F39" s="12"/>
      <c r="G39" s="12"/>
      <c r="H39" s="12"/>
      <c r="I39" s="12"/>
      <c r="J39"/>
      <c r="K39"/>
      <c r="L39"/>
      <c r="M39"/>
    </row>
    <row r="40" spans="1:13" ht="24" customHeight="1" x14ac:dyDescent="0.35">
      <c r="A40" s="294" t="s">
        <v>314</v>
      </c>
      <c r="B40" s="294"/>
      <c r="C40" s="294"/>
      <c r="D40" s="294"/>
      <c r="E40" s="294"/>
      <c r="F40" s="294"/>
      <c r="G40" s="294"/>
      <c r="H40" s="294"/>
      <c r="I40" s="294"/>
      <c r="J40"/>
      <c r="K40"/>
      <c r="L40"/>
      <c r="M40"/>
    </row>
    <row r="41" spans="1:13" x14ac:dyDescent="0.35">
      <c r="A41" s="17" t="s">
        <v>315</v>
      </c>
      <c r="B41" s="17" t="s">
        <v>0</v>
      </c>
      <c r="C41" s="17" t="s">
        <v>1</v>
      </c>
      <c r="D41" s="17" t="s">
        <v>142</v>
      </c>
      <c r="E41" s="17" t="s">
        <v>54</v>
      </c>
      <c r="F41" s="17" t="s">
        <v>1</v>
      </c>
      <c r="G41" s="17" t="s">
        <v>2</v>
      </c>
      <c r="H41" s="17" t="s">
        <v>316</v>
      </c>
      <c r="I41" s="17" t="s">
        <v>55</v>
      </c>
      <c r="J41"/>
      <c r="K41"/>
      <c r="L41"/>
      <c r="M41"/>
    </row>
    <row r="42" spans="1:13" x14ac:dyDescent="0.35">
      <c r="A42" s="20" t="s">
        <v>143</v>
      </c>
      <c r="B42" s="173">
        <f>'📄 INCOME_STATEMENT'!B15</f>
        <v>45430</v>
      </c>
      <c r="C42" s="173">
        <f>'📄 INCOME_STATEMENT'!C15</f>
        <v>45874</v>
      </c>
      <c r="D42" s="174">
        <f t="shared" ref="D42:D49" si="0">C42-B42</f>
        <v>444</v>
      </c>
      <c r="E42" s="151">
        <f t="shared" ref="E42:E49" si="1">IFERROR(C42/B42-1,"")</f>
        <v>9.7732775698877727E-3</v>
      </c>
      <c r="F42" s="173">
        <f>'📄 INCOME_STATEMENT'!C15</f>
        <v>45874</v>
      </c>
      <c r="G42" s="173">
        <f>'📄 INCOME_STATEMENT'!D15</f>
        <v>48831</v>
      </c>
      <c r="H42" s="174">
        <f t="shared" ref="H42:H49" si="2">G42-F42</f>
        <v>2957</v>
      </c>
      <c r="I42" s="151">
        <f t="shared" ref="I42:I49" si="3">IFERROR(G42/F42-1,"")</f>
        <v>6.4459170772114938E-2</v>
      </c>
      <c r="J42"/>
      <c r="K42"/>
      <c r="L42"/>
      <c r="M42"/>
    </row>
    <row r="43" spans="1:13" x14ac:dyDescent="0.35">
      <c r="A43" s="21" t="s">
        <v>168</v>
      </c>
      <c r="B43" s="53">
        <f>'📄 INCOME_STATEMENT'!B10</f>
        <v>20933</v>
      </c>
      <c r="C43" s="53">
        <f>'📄 INCOME_STATEMENT'!C10</f>
        <v>19058</v>
      </c>
      <c r="D43" s="152">
        <f t="shared" si="0"/>
        <v>-1875</v>
      </c>
      <c r="E43" s="99">
        <f t="shared" si="1"/>
        <v>-8.9571489991878805E-2</v>
      </c>
      <c r="F43" s="53">
        <f>'📄 INCOME_STATEMENT'!C10</f>
        <v>19058</v>
      </c>
      <c r="G43" s="53">
        <f>'📄 INCOME_STATEMENT'!D10</f>
        <v>19524</v>
      </c>
      <c r="H43" s="152">
        <f t="shared" si="2"/>
        <v>466</v>
      </c>
      <c r="I43" s="99">
        <f t="shared" si="3"/>
        <v>2.4451673837758481E-2</v>
      </c>
      <c r="J43"/>
      <c r="K43"/>
      <c r="L43"/>
      <c r="M43"/>
    </row>
    <row r="44" spans="1:13" x14ac:dyDescent="0.35">
      <c r="A44" s="21" t="s">
        <v>169</v>
      </c>
      <c r="B44" s="53">
        <f>'📄 INCOME_STATEMENT'!B11</f>
        <v>10165</v>
      </c>
      <c r="C44" s="53">
        <f>'📄 INCOME_STATEMENT'!C11</f>
        <v>9821</v>
      </c>
      <c r="D44" s="152">
        <f t="shared" si="0"/>
        <v>-344</v>
      </c>
      <c r="E44" s="99">
        <f t="shared" si="1"/>
        <v>-3.3841613379242519E-2</v>
      </c>
      <c r="F44" s="53">
        <f>'📄 INCOME_STATEMENT'!C11</f>
        <v>9821</v>
      </c>
      <c r="G44" s="53">
        <f>'📄 INCOME_STATEMENT'!D11</f>
        <v>10701</v>
      </c>
      <c r="H44" s="152">
        <f t="shared" si="2"/>
        <v>880</v>
      </c>
      <c r="I44" s="99">
        <f t="shared" si="3"/>
        <v>8.9603909988799524E-2</v>
      </c>
      <c r="J44"/>
      <c r="K44"/>
      <c r="L44"/>
      <c r="M44"/>
    </row>
    <row r="45" spans="1:13" x14ac:dyDescent="0.35">
      <c r="A45" s="21" t="s">
        <v>170</v>
      </c>
      <c r="B45" s="53">
        <f>'📄 INCOME_STATEMENT'!B12</f>
        <v>9352</v>
      </c>
      <c r="C45" s="53">
        <f>'📄 INCOME_STATEMENT'!C12</f>
        <v>10346</v>
      </c>
      <c r="D45" s="152">
        <f t="shared" si="0"/>
        <v>994</v>
      </c>
      <c r="E45" s="99">
        <f t="shared" si="1"/>
        <v>0.10628742514970058</v>
      </c>
      <c r="F45" s="53">
        <f>'📄 INCOME_STATEMENT'!C12</f>
        <v>10346</v>
      </c>
      <c r="G45" s="53">
        <f>'📄 INCOME_STATEMENT'!D12</f>
        <v>11569</v>
      </c>
      <c r="H45" s="152">
        <f t="shared" si="2"/>
        <v>1223</v>
      </c>
      <c r="I45" s="99">
        <f t="shared" si="3"/>
        <v>0.11820993620722975</v>
      </c>
      <c r="J45"/>
      <c r="K45"/>
      <c r="L45"/>
      <c r="M45"/>
    </row>
    <row r="46" spans="1:13" x14ac:dyDescent="0.35">
      <c r="A46" s="21" t="s">
        <v>317</v>
      </c>
      <c r="B46" s="53">
        <f>'📄 INCOME_STATEMENT'!B22</f>
        <v>29864</v>
      </c>
      <c r="C46" s="53">
        <f>'📄 INCOME_STATEMENT'!C22</f>
        <v>30956</v>
      </c>
      <c r="D46" s="152">
        <f t="shared" si="0"/>
        <v>1092</v>
      </c>
      <c r="E46" s="99">
        <f t="shared" si="1"/>
        <v>3.6565764800428502E-2</v>
      </c>
      <c r="F46" s="53">
        <f>'📄 INCOME_STATEMENT'!C22</f>
        <v>30956</v>
      </c>
      <c r="G46" s="53">
        <f>'📄 INCOME_STATEMENT'!D22</f>
        <v>30193</v>
      </c>
      <c r="H46" s="152">
        <f t="shared" si="2"/>
        <v>-763</v>
      </c>
      <c r="I46" s="99">
        <f t="shared" si="3"/>
        <v>-2.4647887323943629E-2</v>
      </c>
      <c r="J46"/>
      <c r="K46"/>
      <c r="L46"/>
      <c r="M46"/>
    </row>
    <row r="47" spans="1:13" x14ac:dyDescent="0.35">
      <c r="A47" s="21" t="s">
        <v>144</v>
      </c>
      <c r="B47" s="53">
        <f>'📄 INCOME_STATEMENT'!B25</f>
        <v>15566</v>
      </c>
      <c r="C47" s="53">
        <f>'📄 INCOME_STATEMENT'!C25</f>
        <v>14918</v>
      </c>
      <c r="D47" s="152">
        <f t="shared" si="0"/>
        <v>-648</v>
      </c>
      <c r="E47" s="99">
        <f t="shared" si="1"/>
        <v>-4.1629191828343792E-2</v>
      </c>
      <c r="F47" s="53">
        <f>'📄 INCOME_STATEMENT'!C25</f>
        <v>14918</v>
      </c>
      <c r="G47" s="53">
        <f>'📄 INCOME_STATEMENT'!D25</f>
        <v>18638</v>
      </c>
      <c r="H47" s="152">
        <f t="shared" si="2"/>
        <v>3720</v>
      </c>
      <c r="I47" s="99">
        <f t="shared" si="3"/>
        <v>0.24936318541359426</v>
      </c>
      <c r="J47"/>
      <c r="K47"/>
      <c r="L47"/>
      <c r="M47"/>
    </row>
    <row r="48" spans="1:13" x14ac:dyDescent="0.35">
      <c r="A48" s="21" t="s">
        <v>6</v>
      </c>
      <c r="B48" s="53">
        <f>'📄 INCOME_STATEMENT'!B27</f>
        <v>3003</v>
      </c>
      <c r="C48" s="53">
        <f>'📄 INCOME_STATEMENT'!C27</f>
        <v>2907</v>
      </c>
      <c r="D48" s="152">
        <f t="shared" si="0"/>
        <v>-96</v>
      </c>
      <c r="E48" s="99">
        <f t="shared" si="1"/>
        <v>-3.1968031968031996E-2</v>
      </c>
      <c r="F48" s="53">
        <f>'📄 INCOME_STATEMENT'!C27</f>
        <v>2907</v>
      </c>
      <c r="G48" s="53">
        <f>'📄 INCOME_STATEMENT'!D27</f>
        <v>2999</v>
      </c>
      <c r="H48" s="152">
        <f t="shared" si="2"/>
        <v>92</v>
      </c>
      <c r="I48" s="99">
        <f t="shared" si="3"/>
        <v>3.1647746818025402E-2</v>
      </c>
      <c r="J48"/>
      <c r="K48"/>
      <c r="L48"/>
      <c r="M48"/>
    </row>
    <row r="49" spans="1:13" x14ac:dyDescent="0.35">
      <c r="A49" s="22" t="s">
        <v>318</v>
      </c>
      <c r="B49" s="52">
        <f>'📄 INCOME_STATEMENT'!B44</f>
        <v>9848</v>
      </c>
      <c r="C49" s="52">
        <f>'📄 INCOME_STATEMENT'!C44</f>
        <v>10975</v>
      </c>
      <c r="D49" s="175">
        <f t="shared" si="0"/>
        <v>1127</v>
      </c>
      <c r="E49" s="98">
        <f t="shared" si="1"/>
        <v>0.11443948009748173</v>
      </c>
      <c r="F49" s="52">
        <f>'📄 INCOME_STATEMENT'!C44</f>
        <v>10975</v>
      </c>
      <c r="G49" s="52">
        <f>'📄 INCOME_STATEMENT'!D44</f>
        <v>11688</v>
      </c>
      <c r="H49" s="175">
        <f t="shared" si="2"/>
        <v>713</v>
      </c>
      <c r="I49" s="98">
        <f t="shared" si="3"/>
        <v>6.4965831435079835E-2</v>
      </c>
      <c r="J49"/>
      <c r="K49"/>
      <c r="L49"/>
      <c r="M49"/>
    </row>
    <row r="50" spans="1:13" x14ac:dyDescent="0.35">
      <c r="A50" s="12"/>
      <c r="B50" s="12"/>
      <c r="C50" s="12"/>
      <c r="D50" s="12"/>
      <c r="E50" s="12"/>
      <c r="F50" s="12"/>
      <c r="G50" s="12"/>
      <c r="H50" s="12"/>
      <c r="I50" s="12"/>
      <c r="J50"/>
      <c r="K50"/>
      <c r="L50"/>
      <c r="M50"/>
    </row>
    <row r="51" spans="1:13" x14ac:dyDescent="0.35">
      <c r="A51" s="12"/>
      <c r="B51" s="12"/>
      <c r="C51" s="12"/>
      <c r="D51" s="12"/>
      <c r="E51" s="12"/>
      <c r="F51" s="12"/>
      <c r="G51" s="12"/>
      <c r="H51" s="12"/>
      <c r="I51" s="12"/>
      <c r="J51"/>
      <c r="K51"/>
      <c r="L51"/>
      <c r="M51"/>
    </row>
    <row r="52" spans="1:13" ht="24" customHeight="1" x14ac:dyDescent="0.35">
      <c r="A52" s="294" t="s">
        <v>262</v>
      </c>
      <c r="B52" s="294"/>
      <c r="C52" s="294"/>
      <c r="D52" s="294"/>
      <c r="E52" s="294"/>
      <c r="F52" s="294"/>
      <c r="G52" s="294"/>
      <c r="H52" s="294"/>
      <c r="I52" s="294"/>
      <c r="J52"/>
      <c r="K52"/>
      <c r="L52"/>
      <c r="M52"/>
    </row>
    <row r="53" spans="1:13" ht="25" customHeight="1" x14ac:dyDescent="0.35">
      <c r="A53" s="298" t="s">
        <v>1148</v>
      </c>
      <c r="B53" s="298"/>
      <c r="C53" s="298"/>
      <c r="D53" s="298"/>
      <c r="E53" s="298"/>
      <c r="F53" s="298"/>
      <c r="G53" s="298"/>
      <c r="H53" s="298"/>
      <c r="I53" s="298"/>
      <c r="J53"/>
      <c r="K53"/>
      <c r="L53"/>
      <c r="M53"/>
    </row>
    <row r="54" spans="1:13" ht="25" customHeight="1" x14ac:dyDescent="0.35">
      <c r="A54" s="298"/>
      <c r="B54" s="298"/>
      <c r="C54" s="298"/>
      <c r="D54" s="298"/>
      <c r="E54" s="298"/>
      <c r="F54" s="298"/>
      <c r="G54" s="298"/>
      <c r="H54" s="298"/>
      <c r="I54" s="298"/>
      <c r="J54"/>
      <c r="K54"/>
      <c r="L54"/>
      <c r="M54"/>
    </row>
    <row r="55" spans="1:13" ht="25" customHeight="1" x14ac:dyDescent="0.35">
      <c r="A55" s="298"/>
      <c r="B55" s="298"/>
      <c r="C55" s="298"/>
      <c r="D55" s="298"/>
      <c r="E55" s="298"/>
      <c r="F55" s="298"/>
      <c r="G55" s="298"/>
      <c r="H55" s="298"/>
      <c r="I55" s="298"/>
      <c r="J55"/>
      <c r="K55"/>
      <c r="L55"/>
      <c r="M55"/>
    </row>
    <row r="56" spans="1:13" x14ac:dyDescent="0.35">
      <c r="A56"/>
      <c r="B56"/>
      <c r="C56"/>
      <c r="D56"/>
      <c r="E56"/>
      <c r="F56"/>
      <c r="G56"/>
      <c r="H56"/>
      <c r="I56"/>
      <c r="J56"/>
      <c r="K56"/>
      <c r="L56"/>
      <c r="M56"/>
    </row>
    <row r="57" spans="1:13" x14ac:dyDescent="0.35">
      <c r="A57"/>
      <c r="B57"/>
      <c r="C57"/>
      <c r="D57"/>
      <c r="E57"/>
      <c r="F57"/>
      <c r="G57"/>
      <c r="H57"/>
      <c r="I57"/>
      <c r="J57"/>
      <c r="K57"/>
      <c r="L57"/>
      <c r="M57"/>
    </row>
    <row r="58" spans="1:13" x14ac:dyDescent="0.35">
      <c r="A58"/>
      <c r="B58"/>
      <c r="C58"/>
      <c r="D58"/>
      <c r="E58"/>
      <c r="F58"/>
      <c r="G58"/>
      <c r="H58"/>
      <c r="I58"/>
      <c r="J58"/>
      <c r="K58"/>
      <c r="L58"/>
      <c r="M58"/>
    </row>
    <row r="59" spans="1:13" x14ac:dyDescent="0.35">
      <c r="A59"/>
      <c r="B59"/>
      <c r="C59"/>
      <c r="D59"/>
      <c r="E59"/>
      <c r="F59"/>
      <c r="G59"/>
      <c r="H59"/>
      <c r="I59"/>
      <c r="J59"/>
      <c r="K59"/>
      <c r="L59"/>
      <c r="M59"/>
    </row>
    <row r="60" spans="1:13" x14ac:dyDescent="0.35">
      <c r="A60"/>
      <c r="B60"/>
      <c r="C60"/>
      <c r="D60"/>
      <c r="E60"/>
      <c r="F60"/>
      <c r="G60"/>
      <c r="H60"/>
      <c r="I60"/>
      <c r="J60"/>
      <c r="K60"/>
      <c r="L60"/>
      <c r="M60"/>
    </row>
    <row r="61" spans="1:13" x14ac:dyDescent="0.35">
      <c r="A61"/>
      <c r="B61"/>
      <c r="C61"/>
      <c r="D61"/>
      <c r="E61"/>
      <c r="F61"/>
      <c r="G61"/>
      <c r="H61"/>
      <c r="I61"/>
      <c r="J61"/>
      <c r="K61"/>
      <c r="L61"/>
      <c r="M61"/>
    </row>
    <row r="62" spans="1:13" x14ac:dyDescent="0.35">
      <c r="F62" s="5"/>
      <c r="G62" s="5"/>
    </row>
  </sheetData>
  <mergeCells count="9">
    <mergeCell ref="A52:I52"/>
    <mergeCell ref="A53:I55"/>
    <mergeCell ref="A1:I1"/>
    <mergeCell ref="A4:I4"/>
    <mergeCell ref="A6:E6"/>
    <mergeCell ref="A2:I2"/>
    <mergeCell ref="A3:I3"/>
    <mergeCell ref="A23:E23"/>
    <mergeCell ref="A40:I4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5403C-2561-44BA-9CAF-32D4262A5D6F}">
  <sheetPr>
    <tabColor rgb="FF70AD47"/>
  </sheetPr>
  <dimension ref="A1:G30"/>
  <sheetViews>
    <sheetView showGridLines="0" workbookViewId="0">
      <selection activeCell="G9" sqref="G9"/>
    </sheetView>
  </sheetViews>
  <sheetFormatPr defaultColWidth="26.453125" defaultRowHeight="20" customHeight="1" x14ac:dyDescent="0.35"/>
  <cols>
    <col min="1" max="1" width="32.1796875" style="1" bestFit="1" customWidth="1"/>
    <col min="2" max="2" width="43.81640625" style="1" bestFit="1" customWidth="1"/>
    <col min="3" max="3" width="15.1796875" style="1" bestFit="1" customWidth="1"/>
    <col min="4" max="5" width="7.26953125" style="1" bestFit="1" customWidth="1"/>
    <col min="6" max="6" width="6.453125" style="1" bestFit="1" customWidth="1"/>
    <col min="7" max="7" width="30.453125" style="1" bestFit="1" customWidth="1"/>
    <col min="8" max="16384" width="26.453125" style="1"/>
  </cols>
  <sheetData>
    <row r="1" spans="1:7" ht="48" customHeight="1" x14ac:dyDescent="0.35">
      <c r="A1" s="291" t="s">
        <v>319</v>
      </c>
      <c r="B1" s="291"/>
      <c r="C1" s="291"/>
      <c r="D1" s="291"/>
      <c r="E1" s="291"/>
      <c r="F1" s="291"/>
      <c r="G1" s="291"/>
    </row>
    <row r="2" spans="1:7" ht="24" customHeight="1" x14ac:dyDescent="0.35">
      <c r="A2" s="292" t="s">
        <v>320</v>
      </c>
      <c r="B2" s="292"/>
      <c r="C2" s="292"/>
      <c r="D2" s="292"/>
      <c r="E2" s="292"/>
      <c r="F2" s="292"/>
      <c r="G2" s="292"/>
    </row>
    <row r="3" spans="1:7" ht="24" customHeight="1" x14ac:dyDescent="0.35">
      <c r="A3" s="293" t="s">
        <v>321</v>
      </c>
      <c r="B3" s="293"/>
      <c r="C3" s="293"/>
      <c r="D3" s="293"/>
      <c r="E3" s="293"/>
      <c r="F3" s="293"/>
      <c r="G3" s="293"/>
    </row>
    <row r="4" spans="1:7" ht="40" customHeight="1" x14ac:dyDescent="0.35">
      <c r="A4" s="311" t="s">
        <v>944</v>
      </c>
      <c r="B4" s="311"/>
      <c r="C4" s="311"/>
      <c r="D4" s="311"/>
      <c r="E4" s="311"/>
      <c r="F4" s="311"/>
      <c r="G4" s="311"/>
    </row>
    <row r="5" spans="1:7" ht="20" customHeight="1" x14ac:dyDescent="0.35">
      <c r="A5" s="12"/>
      <c r="B5" s="12"/>
      <c r="C5" s="12"/>
      <c r="D5" s="12"/>
      <c r="E5" s="12"/>
      <c r="F5" s="12"/>
      <c r="G5" s="12"/>
    </row>
    <row r="6" spans="1:7" ht="24" customHeight="1" x14ac:dyDescent="0.35">
      <c r="A6" s="294" t="s">
        <v>322</v>
      </c>
      <c r="B6" s="294"/>
      <c r="C6" s="294"/>
      <c r="D6" s="294"/>
      <c r="E6" s="294"/>
      <c r="F6" s="294"/>
      <c r="G6" s="294"/>
    </row>
    <row r="7" spans="1:7" ht="24" customHeight="1" x14ac:dyDescent="0.35">
      <c r="A7" s="17" t="s">
        <v>323</v>
      </c>
      <c r="B7" s="17" t="s">
        <v>324</v>
      </c>
      <c r="C7" s="17" t="s">
        <v>904</v>
      </c>
      <c r="D7" s="17" t="s">
        <v>1</v>
      </c>
      <c r="E7" s="17" t="s">
        <v>2</v>
      </c>
      <c r="F7" s="17" t="s">
        <v>208</v>
      </c>
      <c r="G7" s="17" t="s">
        <v>325</v>
      </c>
    </row>
    <row r="8" spans="1:7" ht="26" x14ac:dyDescent="0.35">
      <c r="A8" s="27" t="s">
        <v>220</v>
      </c>
      <c r="B8" s="176" t="s">
        <v>326</v>
      </c>
      <c r="C8" s="45">
        <f>'📄 INCOME_STATEMENT'!B44/ANALYTICAL_INPUTS!C7</f>
        <v>8.2367651794264876E-2</v>
      </c>
      <c r="D8" s="45">
        <f>'📄 INCOME_STATEMENT'!C44/ANALYTICAL_INPUTS!C8</f>
        <v>8.9599516693267586E-2</v>
      </c>
      <c r="E8" s="45">
        <f>'📄 INCOME_STATEMENT'!D44/ANALYTICAL_INPUTS!C9</f>
        <v>9.2806466597056519E-2</v>
      </c>
      <c r="F8" s="23" t="s">
        <v>3</v>
      </c>
      <c r="G8" s="179" t="s">
        <v>845</v>
      </c>
    </row>
    <row r="9" spans="1:7" ht="26" x14ac:dyDescent="0.35">
      <c r="A9" s="28" t="s">
        <v>221</v>
      </c>
      <c r="B9" s="177" t="s">
        <v>327</v>
      </c>
      <c r="C9" s="47">
        <f>'📄 INCOME_STATEMENT'!B44/ANALYTICAL_INPUTS!C10</f>
        <v>8.9017847861555921E-2</v>
      </c>
      <c r="D9" s="47">
        <f>'📄 INCOME_STATEMENT'!C44/ANALYTICAL_INPUTS!C11</f>
        <v>9.7036303513642549E-2</v>
      </c>
      <c r="E9" s="47">
        <f>'📄 INCOME_STATEMENT'!D44/ANALYTICAL_INPUTS!C12</f>
        <v>0.10065189497343334</v>
      </c>
      <c r="F9" s="24" t="s">
        <v>3</v>
      </c>
      <c r="G9" s="57" t="s">
        <v>942</v>
      </c>
    </row>
    <row r="10" spans="1:7" ht="26" x14ac:dyDescent="0.35">
      <c r="A10" s="28" t="s">
        <v>222</v>
      </c>
      <c r="B10" s="177" t="s">
        <v>328</v>
      </c>
      <c r="C10" s="47">
        <f>'📄 INCOME_STATEMENT'!B44/ANALYTICAL_INPUTS!C13</f>
        <v>3.7174945717331495E-3</v>
      </c>
      <c r="D10" s="47">
        <f>'📄 INCOME_STATEMENT'!C44/ANALYTICAL_INPUTS!C14</f>
        <v>4.1767779896929678E-3</v>
      </c>
      <c r="E10" s="47">
        <f>'📄 INCOME_STATEMENT'!D44/ANALYTICAL_INPUTS!C15</f>
        <v>4.4135580970269088E-3</v>
      </c>
      <c r="F10" s="24" t="s">
        <v>3</v>
      </c>
      <c r="G10" s="57" t="s">
        <v>846</v>
      </c>
    </row>
    <row r="11" spans="1:7" ht="26" x14ac:dyDescent="0.35">
      <c r="A11" s="28" t="s">
        <v>4</v>
      </c>
      <c r="B11" s="177" t="s">
        <v>329</v>
      </c>
      <c r="C11" s="47">
        <f>'📄 INCOME_STATEMENT'!B10/ANALYTICAL_INPUTS!C16</f>
        <v>2.0698127992603926E-2</v>
      </c>
      <c r="D11" s="47">
        <f>'📄 INCOME_STATEMENT'!C10/ANALYTICAL_INPUTS!C17</f>
        <v>1.8198155357512874E-2</v>
      </c>
      <c r="E11" s="47">
        <f>'📄 INCOME_STATEMENT'!D10/ANALYTICAL_INPUTS!C18</f>
        <v>1.7711550472793349E-2</v>
      </c>
      <c r="F11" s="24" t="s">
        <v>241</v>
      </c>
      <c r="G11" s="181" t="s">
        <v>847</v>
      </c>
    </row>
    <row r="12" spans="1:7" ht="20" customHeight="1" x14ac:dyDescent="0.35">
      <c r="A12" s="28" t="s">
        <v>330</v>
      </c>
      <c r="B12" s="177" t="s">
        <v>331</v>
      </c>
      <c r="C12" s="47" t="s">
        <v>137</v>
      </c>
      <c r="D12" s="47">
        <f>'📄 INCOME_STATEMENT'!C10/'📄 INCOME_STATEMENT'!B10-1</f>
        <v>-8.9571489991878805E-2</v>
      </c>
      <c r="E12" s="47">
        <f>'📄 INCOME_STATEMENT'!D10/'📄 INCOME_STATEMENT'!C10-1</f>
        <v>2.4451673837758481E-2</v>
      </c>
      <c r="F12" s="24" t="s">
        <v>233</v>
      </c>
      <c r="G12" s="181" t="s">
        <v>332</v>
      </c>
    </row>
    <row r="13" spans="1:7" ht="20" customHeight="1" x14ac:dyDescent="0.35">
      <c r="A13" s="28" t="s">
        <v>333</v>
      </c>
      <c r="B13" s="177" t="s">
        <v>334</v>
      </c>
      <c r="C13" s="47" t="s">
        <v>137</v>
      </c>
      <c r="D13" s="47">
        <f>'📄 INCOME_STATEMENT'!C15/'📄 INCOME_STATEMENT'!B15-1</f>
        <v>9.7732775698877727E-3</v>
      </c>
      <c r="E13" s="47">
        <f>'📄 INCOME_STATEMENT'!D15/'📄 INCOME_STATEMENT'!C15-1</f>
        <v>6.4459170772114938E-2</v>
      </c>
      <c r="F13" s="24" t="s">
        <v>3</v>
      </c>
      <c r="G13" s="57" t="s">
        <v>335</v>
      </c>
    </row>
    <row r="14" spans="1:7" ht="20" customHeight="1" x14ac:dyDescent="0.35">
      <c r="A14" s="28" t="s">
        <v>134</v>
      </c>
      <c r="B14" s="177" t="s">
        <v>336</v>
      </c>
      <c r="C14" s="47">
        <f>'📄 INCOME_STATEMENT'!B44/'📄 INCOME_STATEMENT'!B15</f>
        <v>0.21677305745102354</v>
      </c>
      <c r="D14" s="47">
        <f>'📄 INCOME_STATEMENT'!C44/'📄 INCOME_STATEMENT'!C15</f>
        <v>0.23924227231111306</v>
      </c>
      <c r="E14" s="47">
        <f>'📄 INCOME_STATEMENT'!D44/'📄 INCOME_STATEMENT'!D15</f>
        <v>0.23935614671008171</v>
      </c>
      <c r="F14" s="24" t="s">
        <v>3</v>
      </c>
      <c r="G14" s="57" t="s">
        <v>337</v>
      </c>
    </row>
    <row r="15" spans="1:7" ht="20" customHeight="1" x14ac:dyDescent="0.35">
      <c r="A15" s="28" t="s">
        <v>223</v>
      </c>
      <c r="B15" s="177" t="s">
        <v>338</v>
      </c>
      <c r="C15" s="54">
        <f>'📄 INCOME_STATEMENT'!B51</f>
        <v>7.52</v>
      </c>
      <c r="D15" s="54">
        <f>'📄 INCOME_STATEMENT'!C51</f>
        <v>8.58</v>
      </c>
      <c r="E15" s="54">
        <f>'📄 INCOME_STATEMENT'!D51</f>
        <v>9.57</v>
      </c>
      <c r="F15" s="24" t="s">
        <v>3</v>
      </c>
      <c r="G15" s="57" t="s">
        <v>244</v>
      </c>
    </row>
    <row r="16" spans="1:7" ht="20" customHeight="1" x14ac:dyDescent="0.35">
      <c r="A16" s="41" t="s">
        <v>652</v>
      </c>
      <c r="B16" s="178" t="s">
        <v>339</v>
      </c>
      <c r="C16" s="42" t="s">
        <v>137</v>
      </c>
      <c r="D16" s="42" t="s">
        <v>137</v>
      </c>
      <c r="E16" s="48">
        <f>('📄 INCOME_STATEMENT'!D44/'📄 INCOME_STATEMENT'!B44)^(1/2)-1</f>
        <v>8.9421850114129287E-2</v>
      </c>
      <c r="F16" s="43" t="s">
        <v>3</v>
      </c>
      <c r="G16" s="56" t="s">
        <v>135</v>
      </c>
    </row>
    <row r="17" spans="1:7" ht="20" customHeight="1" x14ac:dyDescent="0.35">
      <c r="A17" s="12"/>
      <c r="B17" s="12"/>
      <c r="C17" s="12"/>
      <c r="D17" s="12"/>
      <c r="E17" s="12"/>
      <c r="F17" s="12"/>
      <c r="G17" s="12"/>
    </row>
    <row r="18" spans="1:7" ht="20" customHeight="1" x14ac:dyDescent="0.35">
      <c r="A18" s="12"/>
      <c r="B18" s="12"/>
      <c r="C18" s="12"/>
      <c r="D18" s="12"/>
      <c r="E18" s="12"/>
      <c r="F18" s="12"/>
      <c r="G18" s="12"/>
    </row>
    <row r="19" spans="1:7" ht="24" customHeight="1" x14ac:dyDescent="0.35">
      <c r="A19" s="294" t="s">
        <v>340</v>
      </c>
      <c r="B19" s="294"/>
      <c r="C19" s="294"/>
      <c r="D19" s="294"/>
      <c r="E19" s="294"/>
      <c r="F19" s="294"/>
      <c r="G19" s="294"/>
    </row>
    <row r="20" spans="1:7" ht="42" customHeight="1" x14ac:dyDescent="0.35">
      <c r="A20" s="314" t="s">
        <v>943</v>
      </c>
      <c r="B20" s="314"/>
      <c r="C20" s="314"/>
      <c r="D20" s="314"/>
      <c r="E20" s="314"/>
      <c r="F20" s="314"/>
      <c r="G20" s="314"/>
    </row>
    <row r="21" spans="1:7" ht="20" customHeight="1" x14ac:dyDescent="0.35">
      <c r="A21" s="12"/>
      <c r="B21" s="12"/>
      <c r="C21" s="12"/>
      <c r="D21" s="12"/>
      <c r="E21" s="12"/>
      <c r="F21" s="12"/>
      <c r="G21" s="12"/>
    </row>
    <row r="22" spans="1:7" ht="24" customHeight="1" x14ac:dyDescent="0.35">
      <c r="A22" s="294" t="s">
        <v>262</v>
      </c>
      <c r="B22" s="294"/>
      <c r="C22" s="294"/>
      <c r="D22" s="294"/>
      <c r="E22" s="294"/>
      <c r="F22" s="294"/>
      <c r="G22" s="294"/>
    </row>
    <row r="23" spans="1:7" ht="25" customHeight="1" x14ac:dyDescent="0.35">
      <c r="A23" s="298" t="s">
        <v>945</v>
      </c>
      <c r="B23" s="298"/>
      <c r="C23" s="298"/>
      <c r="D23" s="298"/>
      <c r="E23" s="298"/>
      <c r="F23" s="298"/>
      <c r="G23" s="298"/>
    </row>
    <row r="24" spans="1:7" ht="25" customHeight="1" x14ac:dyDescent="0.35">
      <c r="A24" s="298"/>
      <c r="B24" s="298"/>
      <c r="C24" s="298"/>
      <c r="D24" s="298"/>
      <c r="E24" s="298"/>
      <c r="F24" s="298"/>
      <c r="G24" s="298"/>
    </row>
    <row r="25" spans="1:7" ht="25" customHeight="1" x14ac:dyDescent="0.35">
      <c r="A25" s="298"/>
      <c r="B25" s="298"/>
      <c r="C25" s="298"/>
      <c r="D25" s="298"/>
      <c r="E25" s="298"/>
      <c r="F25" s="298"/>
      <c r="G25" s="298"/>
    </row>
    <row r="26" spans="1:7" ht="20" customHeight="1" x14ac:dyDescent="0.35">
      <c r="A26"/>
      <c r="B26"/>
      <c r="C26"/>
      <c r="D26"/>
      <c r="E26"/>
      <c r="F26"/>
      <c r="G26"/>
    </row>
    <row r="27" spans="1:7" ht="20" customHeight="1" x14ac:dyDescent="0.35">
      <c r="A27"/>
      <c r="B27"/>
      <c r="C27"/>
      <c r="D27"/>
      <c r="E27"/>
      <c r="F27"/>
      <c r="G27"/>
    </row>
    <row r="28" spans="1:7" ht="20" customHeight="1" x14ac:dyDescent="0.35">
      <c r="A28"/>
      <c r="B28"/>
      <c r="C28"/>
      <c r="D28"/>
      <c r="E28"/>
      <c r="F28"/>
      <c r="G28"/>
    </row>
    <row r="29" spans="1:7" ht="20" customHeight="1" x14ac:dyDescent="0.35">
      <c r="A29"/>
      <c r="B29"/>
      <c r="C29"/>
      <c r="D29"/>
      <c r="E29"/>
      <c r="F29"/>
      <c r="G29"/>
    </row>
    <row r="30" spans="1:7" ht="20" customHeight="1" x14ac:dyDescent="0.35">
      <c r="A30"/>
      <c r="B30"/>
      <c r="C30"/>
      <c r="D30"/>
      <c r="E30"/>
      <c r="F30"/>
      <c r="G30"/>
    </row>
  </sheetData>
  <mergeCells count="9">
    <mergeCell ref="A19:G19"/>
    <mergeCell ref="A20:G20"/>
    <mergeCell ref="A22:G22"/>
    <mergeCell ref="A23:G25"/>
    <mergeCell ref="A1:G1"/>
    <mergeCell ref="A4:G4"/>
    <mergeCell ref="A2:G2"/>
    <mergeCell ref="A3:G3"/>
    <mergeCell ref="A6:G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9FB48-BBBC-45CA-BEF9-B340FDBDC869}">
  <sheetPr>
    <tabColor rgb="FF70AD47"/>
  </sheetPr>
  <dimension ref="A1:H30"/>
  <sheetViews>
    <sheetView showGridLines="0" topLeftCell="A6" workbookViewId="0">
      <selection activeCell="H5" sqref="H5"/>
    </sheetView>
  </sheetViews>
  <sheetFormatPr defaultColWidth="28.54296875" defaultRowHeight="20" customHeight="1" x14ac:dyDescent="0.35"/>
  <cols>
    <col min="1" max="2" width="34.54296875" style="1" customWidth="1"/>
    <col min="3" max="5" width="7.90625" style="1" bestFit="1" customWidth="1"/>
    <col min="6" max="6" width="6.453125" style="1" bestFit="1" customWidth="1"/>
    <col min="7" max="7" width="16.7265625" style="1" bestFit="1" customWidth="1"/>
    <col min="8" max="8" width="31.81640625" style="1" customWidth="1"/>
    <col min="9" max="16384" width="28.54296875" style="1"/>
  </cols>
  <sheetData>
    <row r="1" spans="1:8" ht="48" customHeight="1" x14ac:dyDescent="0.35">
      <c r="A1" s="291" t="s">
        <v>341</v>
      </c>
      <c r="B1" s="291"/>
      <c r="C1" s="291"/>
      <c r="D1" s="291"/>
      <c r="E1" s="291"/>
      <c r="F1" s="291"/>
      <c r="G1" s="291"/>
      <c r="H1" s="13"/>
    </row>
    <row r="2" spans="1:8" ht="24" customHeight="1" x14ac:dyDescent="0.35">
      <c r="A2" s="292" t="s">
        <v>342</v>
      </c>
      <c r="B2" s="292"/>
      <c r="C2" s="292"/>
      <c r="D2" s="292"/>
      <c r="E2" s="292"/>
      <c r="F2" s="292"/>
      <c r="G2" s="292"/>
      <c r="H2" s="14"/>
    </row>
    <row r="3" spans="1:8" ht="24" customHeight="1" x14ac:dyDescent="0.35">
      <c r="A3" s="293" t="s">
        <v>343</v>
      </c>
      <c r="B3" s="293"/>
      <c r="C3" s="293"/>
      <c r="D3" s="293"/>
      <c r="E3" s="293"/>
      <c r="F3" s="293"/>
      <c r="G3" s="293"/>
      <c r="H3" s="15"/>
    </row>
    <row r="4" spans="1:8" ht="40" customHeight="1" x14ac:dyDescent="0.35">
      <c r="A4" s="311" t="s">
        <v>1000</v>
      </c>
      <c r="B4" s="311"/>
      <c r="C4" s="311"/>
      <c r="D4" s="311"/>
      <c r="E4" s="311"/>
      <c r="F4" s="311"/>
      <c r="G4" s="311"/>
      <c r="H4" s="61"/>
    </row>
    <row r="5" spans="1:8" ht="20" customHeight="1" x14ac:dyDescent="0.35">
      <c r="A5" s="12"/>
      <c r="B5" s="12"/>
      <c r="C5" s="12"/>
      <c r="D5" s="12"/>
      <c r="E5" s="12"/>
      <c r="F5" s="12"/>
      <c r="G5" s="12"/>
      <c r="H5" s="12"/>
    </row>
    <row r="6" spans="1:8" ht="24" customHeight="1" x14ac:dyDescent="0.35">
      <c r="A6" s="294" t="s">
        <v>344</v>
      </c>
      <c r="B6" s="294"/>
      <c r="C6" s="294"/>
      <c r="D6" s="294"/>
      <c r="E6" s="294"/>
      <c r="F6" s="294"/>
      <c r="G6" s="294"/>
      <c r="H6" s="294"/>
    </row>
    <row r="7" spans="1:8" ht="24" customHeight="1" x14ac:dyDescent="0.35">
      <c r="A7" s="17" t="s">
        <v>323</v>
      </c>
      <c r="B7" s="17" t="s">
        <v>345</v>
      </c>
      <c r="C7" s="17" t="s">
        <v>0</v>
      </c>
      <c r="D7" s="17" t="s">
        <v>1</v>
      </c>
      <c r="E7" s="17" t="s">
        <v>2</v>
      </c>
      <c r="F7" s="17" t="s">
        <v>208</v>
      </c>
      <c r="G7" s="17" t="s">
        <v>346</v>
      </c>
      <c r="H7" s="17" t="s">
        <v>209</v>
      </c>
    </row>
    <row r="8" spans="1:8" ht="20" customHeight="1" x14ac:dyDescent="0.35">
      <c r="A8" s="27" t="s">
        <v>227</v>
      </c>
      <c r="B8" s="176" t="s">
        <v>347</v>
      </c>
      <c r="C8" s="45">
        <v>1.29</v>
      </c>
      <c r="D8" s="45">
        <v>1.48</v>
      </c>
      <c r="E8" s="45">
        <v>1.37</v>
      </c>
      <c r="F8" s="23" t="s">
        <v>236</v>
      </c>
      <c r="G8" s="38" t="s">
        <v>348</v>
      </c>
      <c r="H8" s="179" t="s">
        <v>349</v>
      </c>
    </row>
    <row r="9" spans="1:8" ht="20" customHeight="1" x14ac:dyDescent="0.35">
      <c r="A9" s="28" t="s">
        <v>136</v>
      </c>
      <c r="B9" s="177" t="s">
        <v>350</v>
      </c>
      <c r="C9" s="47">
        <v>1.1505000000000001</v>
      </c>
      <c r="D9" s="47">
        <v>1.1592</v>
      </c>
      <c r="E9" s="47">
        <v>1.1174999999999999</v>
      </c>
      <c r="F9" s="24" t="s">
        <v>247</v>
      </c>
      <c r="G9" s="40" t="s">
        <v>348</v>
      </c>
      <c r="H9" s="57" t="s">
        <v>349</v>
      </c>
    </row>
    <row r="10" spans="1:8" ht="20" customHeight="1" x14ac:dyDescent="0.35">
      <c r="A10" s="28" t="s">
        <v>351</v>
      </c>
      <c r="B10" s="177" t="s">
        <v>352</v>
      </c>
      <c r="C10" s="49">
        <v>454812</v>
      </c>
      <c r="D10" s="49">
        <v>408476</v>
      </c>
      <c r="E10" s="49">
        <v>380615</v>
      </c>
      <c r="F10" s="24" t="s">
        <v>241</v>
      </c>
      <c r="G10" s="40" t="s">
        <v>353</v>
      </c>
      <c r="H10" s="181" t="s">
        <v>354</v>
      </c>
    </row>
    <row r="11" spans="1:8" ht="20" customHeight="1" x14ac:dyDescent="0.35">
      <c r="A11" s="28" t="s">
        <v>228</v>
      </c>
      <c r="B11" s="177" t="s">
        <v>355</v>
      </c>
      <c r="C11" s="47">
        <f>'🏦 BALANCE_SHEET'!B20/'🏦 BALANCE_SHEET'!B45</f>
        <v>0.8501710222447959</v>
      </c>
      <c r="D11" s="47">
        <f>'🏦 BALANCE_SHEET'!C20/'🏦 BALANCE_SHEET'!C45</f>
        <v>0.86915266719201578</v>
      </c>
      <c r="E11" s="47">
        <f>'🏦 BALANCE_SHEET'!D20/'🏦 BALANCE_SHEET'!D45</f>
        <v>0.86982162752921421</v>
      </c>
      <c r="F11" s="24" t="s">
        <v>247</v>
      </c>
      <c r="G11" s="40" t="s">
        <v>138</v>
      </c>
      <c r="H11" s="57" t="s">
        <v>992</v>
      </c>
    </row>
    <row r="12" spans="1:8" ht="20" customHeight="1" x14ac:dyDescent="0.35">
      <c r="A12" s="41" t="s">
        <v>356</v>
      </c>
      <c r="B12" s="178" t="s">
        <v>357</v>
      </c>
      <c r="C12" s="48" t="s">
        <v>137</v>
      </c>
      <c r="D12" s="48">
        <f>'🏦 BALANCE_SHEET'!C45/'🏦 BALANCE_SHEET'!B45-1</f>
        <v>-1.9351107478155938E-2</v>
      </c>
      <c r="E12" s="48">
        <f>'🏦 BALANCE_SHEET'!D45/'🏦 BALANCE_SHEET'!C45-1</f>
        <v>4.6844415400754125E-2</v>
      </c>
      <c r="F12" s="43" t="s">
        <v>233</v>
      </c>
      <c r="G12" s="44" t="s">
        <v>137</v>
      </c>
      <c r="H12" s="56" t="s">
        <v>358</v>
      </c>
    </row>
    <row r="13" spans="1:8" ht="20" customHeight="1" x14ac:dyDescent="0.35">
      <c r="A13" s="12"/>
      <c r="B13" s="12"/>
      <c r="C13" s="12"/>
      <c r="D13" s="12"/>
      <c r="E13" s="12"/>
      <c r="F13" s="12"/>
      <c r="G13" s="12"/>
      <c r="H13" s="12"/>
    </row>
    <row r="14" spans="1:8" ht="20" customHeight="1" x14ac:dyDescent="0.35">
      <c r="A14" s="12"/>
      <c r="B14" s="12"/>
      <c r="C14" s="12"/>
      <c r="D14" s="12"/>
      <c r="E14" s="12"/>
      <c r="F14" s="12"/>
      <c r="G14" s="12"/>
      <c r="H14" s="12"/>
    </row>
    <row r="15" spans="1:8" ht="24" customHeight="1" x14ac:dyDescent="0.35">
      <c r="A15" s="294" t="s">
        <v>359</v>
      </c>
      <c r="B15" s="294"/>
      <c r="C15" s="294"/>
      <c r="D15" s="294"/>
      <c r="E15" s="294"/>
      <c r="F15" s="294"/>
      <c r="G15" s="294"/>
      <c r="H15" s="294"/>
    </row>
    <row r="16" spans="1:8" ht="25" customHeight="1" x14ac:dyDescent="0.35">
      <c r="A16" s="314" t="s">
        <v>1001</v>
      </c>
      <c r="B16" s="314"/>
      <c r="C16" s="314"/>
      <c r="D16" s="314"/>
      <c r="E16" s="314"/>
      <c r="F16" s="314"/>
      <c r="G16" s="314"/>
      <c r="H16" s="314"/>
    </row>
    <row r="17" spans="1:8" ht="25" customHeight="1" x14ac:dyDescent="0.35">
      <c r="A17" s="314"/>
      <c r="B17" s="314"/>
      <c r="C17" s="314"/>
      <c r="D17" s="314"/>
      <c r="E17" s="314"/>
      <c r="F17" s="314"/>
      <c r="G17" s="314"/>
      <c r="H17" s="314"/>
    </row>
    <row r="18" spans="1:8" ht="25" customHeight="1" x14ac:dyDescent="0.35">
      <c r="A18" s="314"/>
      <c r="B18" s="314"/>
      <c r="C18" s="314"/>
      <c r="D18" s="314"/>
      <c r="E18" s="314"/>
      <c r="F18" s="314"/>
      <c r="G18" s="314"/>
      <c r="H18" s="314"/>
    </row>
    <row r="19" spans="1:8" ht="20" customHeight="1" x14ac:dyDescent="0.35">
      <c r="A19" s="12"/>
      <c r="B19" s="12"/>
      <c r="C19" s="12"/>
      <c r="D19" s="12"/>
      <c r="E19" s="12"/>
      <c r="F19" s="12"/>
      <c r="G19" s="12"/>
      <c r="H19" s="12"/>
    </row>
    <row r="20" spans="1:8" ht="24" customHeight="1" x14ac:dyDescent="0.35">
      <c r="A20" s="294" t="s">
        <v>262</v>
      </c>
      <c r="B20" s="294"/>
      <c r="C20" s="294"/>
      <c r="D20" s="294"/>
      <c r="E20" s="294"/>
      <c r="F20" s="294"/>
      <c r="G20" s="294"/>
      <c r="H20" s="294"/>
    </row>
    <row r="21" spans="1:8" ht="25" customHeight="1" x14ac:dyDescent="0.35">
      <c r="A21" s="298" t="s">
        <v>1002</v>
      </c>
      <c r="B21" s="298"/>
      <c r="C21" s="298"/>
      <c r="D21" s="298"/>
      <c r="E21" s="298"/>
      <c r="F21" s="298"/>
      <c r="G21" s="298"/>
      <c r="H21" s="298"/>
    </row>
    <row r="22" spans="1:8" ht="25" customHeight="1" x14ac:dyDescent="0.35">
      <c r="A22" s="298"/>
      <c r="B22" s="298"/>
      <c r="C22" s="298"/>
      <c r="D22" s="298"/>
      <c r="E22" s="298"/>
      <c r="F22" s="298"/>
      <c r="G22" s="298"/>
      <c r="H22" s="298"/>
    </row>
    <row r="23" spans="1:8" ht="25" customHeight="1" x14ac:dyDescent="0.35">
      <c r="A23" s="298"/>
      <c r="B23" s="298"/>
      <c r="C23" s="298"/>
      <c r="D23" s="298"/>
      <c r="E23" s="298"/>
      <c r="F23" s="298"/>
      <c r="G23" s="298"/>
      <c r="H23" s="298"/>
    </row>
    <row r="24" spans="1:8" ht="20" customHeight="1" x14ac:dyDescent="0.35">
      <c r="A24"/>
      <c r="B24"/>
      <c r="C24"/>
      <c r="D24"/>
      <c r="E24"/>
      <c r="F24"/>
      <c r="G24"/>
    </row>
    <row r="25" spans="1:8" ht="20" customHeight="1" x14ac:dyDescent="0.35">
      <c r="A25"/>
      <c r="B25"/>
      <c r="C25"/>
      <c r="D25"/>
      <c r="E25"/>
      <c r="F25"/>
      <c r="G25"/>
    </row>
    <row r="26" spans="1:8" ht="20" customHeight="1" x14ac:dyDescent="0.35">
      <c r="A26"/>
      <c r="B26"/>
      <c r="C26"/>
      <c r="D26"/>
      <c r="E26"/>
      <c r="F26"/>
      <c r="G26"/>
    </row>
    <row r="27" spans="1:8" ht="20" customHeight="1" x14ac:dyDescent="0.35">
      <c r="A27"/>
      <c r="B27"/>
      <c r="C27"/>
      <c r="D27"/>
      <c r="E27"/>
      <c r="F27"/>
      <c r="G27"/>
    </row>
    <row r="28" spans="1:8" ht="20" customHeight="1" x14ac:dyDescent="0.35">
      <c r="A28"/>
      <c r="B28"/>
      <c r="C28"/>
      <c r="D28"/>
      <c r="E28"/>
      <c r="F28"/>
      <c r="G28"/>
    </row>
    <row r="29" spans="1:8" ht="20" customHeight="1" x14ac:dyDescent="0.35">
      <c r="A29"/>
      <c r="B29"/>
      <c r="C29"/>
      <c r="D29"/>
      <c r="E29"/>
      <c r="F29"/>
      <c r="G29"/>
    </row>
    <row r="30" spans="1:8" ht="20" customHeight="1" x14ac:dyDescent="0.35">
      <c r="A30"/>
      <c r="B30"/>
      <c r="C30"/>
      <c r="D30"/>
      <c r="E30"/>
      <c r="F30"/>
      <c r="G30"/>
    </row>
  </sheetData>
  <mergeCells count="9">
    <mergeCell ref="A15:H15"/>
    <mergeCell ref="A16:H18"/>
    <mergeCell ref="A20:H20"/>
    <mergeCell ref="A21:H23"/>
    <mergeCell ref="A1:G1"/>
    <mergeCell ref="A4:G4"/>
    <mergeCell ref="A2:G2"/>
    <mergeCell ref="A3:G3"/>
    <mergeCell ref="A6:H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B7D1B-9D05-4665-9189-8942120D94CB}">
  <sheetPr>
    <tabColor rgb="FF70AD47"/>
  </sheetPr>
  <dimension ref="A1:H40"/>
  <sheetViews>
    <sheetView showGridLines="0" topLeftCell="A28" workbookViewId="0">
      <selection activeCell="F31" sqref="F31"/>
    </sheetView>
  </sheetViews>
  <sheetFormatPr defaultColWidth="27.1796875" defaultRowHeight="20" customHeight="1" x14ac:dyDescent="0.35"/>
  <cols>
    <col min="1" max="2" width="25.453125" style="1" customWidth="1"/>
    <col min="3" max="3" width="24.1796875" style="1" customWidth="1"/>
    <col min="4" max="4" width="14.6328125" style="1" bestFit="1" customWidth="1"/>
    <col min="5" max="5" width="15.81640625" style="1" bestFit="1" customWidth="1"/>
    <col min="6" max="6" width="9.90625" style="1" bestFit="1" customWidth="1"/>
    <col min="7" max="7" width="23.36328125" style="1" customWidth="1"/>
    <col min="8" max="8" width="26.36328125" style="1" customWidth="1"/>
    <col min="9" max="16384" width="27.1796875" style="1"/>
  </cols>
  <sheetData>
    <row r="1" spans="1:8" ht="48" customHeight="1" x14ac:dyDescent="0.35">
      <c r="A1" s="291" t="s">
        <v>360</v>
      </c>
      <c r="B1" s="291"/>
      <c r="C1" s="291"/>
      <c r="D1" s="291"/>
      <c r="E1" s="291"/>
      <c r="F1" s="291"/>
      <c r="G1" s="291"/>
      <c r="H1" s="291"/>
    </row>
    <row r="2" spans="1:8" ht="24" customHeight="1" x14ac:dyDescent="0.35">
      <c r="A2" s="292" t="s">
        <v>361</v>
      </c>
      <c r="B2" s="292"/>
      <c r="C2" s="292"/>
      <c r="D2" s="292"/>
      <c r="E2" s="292"/>
      <c r="F2" s="292"/>
      <c r="G2" s="292"/>
      <c r="H2" s="292"/>
    </row>
    <row r="3" spans="1:8" ht="24" customHeight="1" x14ac:dyDescent="0.35">
      <c r="A3" s="293" t="s">
        <v>362</v>
      </c>
      <c r="B3" s="293"/>
      <c r="C3" s="293"/>
      <c r="D3" s="293"/>
      <c r="E3" s="293"/>
      <c r="F3" s="293"/>
      <c r="G3" s="293"/>
      <c r="H3" s="293"/>
    </row>
    <row r="4" spans="1:8" ht="40" customHeight="1" x14ac:dyDescent="0.35">
      <c r="A4" s="311" t="s">
        <v>1007</v>
      </c>
      <c r="B4" s="311"/>
      <c r="C4" s="311"/>
      <c r="D4" s="311"/>
      <c r="E4" s="311"/>
      <c r="F4" s="311"/>
      <c r="G4" s="311"/>
      <c r="H4" s="311"/>
    </row>
    <row r="5" spans="1:8" ht="20" customHeight="1" x14ac:dyDescent="0.35">
      <c r="A5" s="12"/>
      <c r="B5" s="12"/>
      <c r="C5" s="12"/>
      <c r="D5" s="12"/>
      <c r="E5" s="12"/>
      <c r="F5" s="12"/>
      <c r="G5" s="12"/>
      <c r="H5" s="12"/>
    </row>
    <row r="6" spans="1:8" ht="24" customHeight="1" x14ac:dyDescent="0.35">
      <c r="A6" s="294" t="s">
        <v>363</v>
      </c>
      <c r="B6" s="294"/>
      <c r="C6" s="294"/>
      <c r="D6" s="294"/>
      <c r="E6" s="294"/>
      <c r="F6" s="294"/>
      <c r="G6" s="294"/>
      <c r="H6" s="294"/>
    </row>
    <row r="7" spans="1:8" ht="20" customHeight="1" x14ac:dyDescent="0.35">
      <c r="A7" s="17" t="s">
        <v>323</v>
      </c>
      <c r="B7" s="17" t="s">
        <v>364</v>
      </c>
      <c r="C7" s="17" t="s">
        <v>0</v>
      </c>
      <c r="D7" s="17" t="s">
        <v>1</v>
      </c>
      <c r="E7" s="17" t="s">
        <v>2</v>
      </c>
      <c r="F7" s="17" t="s">
        <v>208</v>
      </c>
      <c r="G7" s="17" t="s">
        <v>1003</v>
      </c>
      <c r="H7" s="17" t="s">
        <v>209</v>
      </c>
    </row>
    <row r="8" spans="1:8" ht="26" x14ac:dyDescent="0.35">
      <c r="A8" s="27" t="s">
        <v>365</v>
      </c>
      <c r="B8" s="38" t="s">
        <v>366</v>
      </c>
      <c r="C8" s="45">
        <v>0.12330000000000001</v>
      </c>
      <c r="D8" s="45">
        <v>0.13200000000000001</v>
      </c>
      <c r="E8" s="45">
        <v>0.12870000000000001</v>
      </c>
      <c r="F8" s="23" t="s">
        <v>236</v>
      </c>
      <c r="G8" s="38" t="s">
        <v>825</v>
      </c>
      <c r="H8" s="182" t="s">
        <v>826</v>
      </c>
    </row>
    <row r="9" spans="1:8" ht="20" customHeight="1" x14ac:dyDescent="0.35">
      <c r="A9" s="28" t="s">
        <v>225</v>
      </c>
      <c r="B9" s="40" t="s">
        <v>367</v>
      </c>
      <c r="C9" s="47">
        <v>0.1389</v>
      </c>
      <c r="D9" s="47">
        <v>0.15279999999999999</v>
      </c>
      <c r="E9" s="47">
        <v>0.14929999999999999</v>
      </c>
      <c r="F9" s="24" t="s">
        <v>236</v>
      </c>
      <c r="G9" s="21" t="s">
        <v>1004</v>
      </c>
      <c r="H9" s="183" t="s">
        <v>1144</v>
      </c>
    </row>
    <row r="10" spans="1:8" ht="20" customHeight="1" x14ac:dyDescent="0.35">
      <c r="A10" s="28" t="s">
        <v>139</v>
      </c>
      <c r="B10" s="40" t="s">
        <v>368</v>
      </c>
      <c r="C10" s="47">
        <v>0.16189999999999999</v>
      </c>
      <c r="D10" s="47">
        <v>0.17299999999999999</v>
      </c>
      <c r="E10" s="47">
        <v>0.17130000000000001</v>
      </c>
      <c r="F10" s="24" t="s">
        <v>236</v>
      </c>
      <c r="G10" s="21" t="s">
        <v>1005</v>
      </c>
      <c r="H10" s="183" t="s">
        <v>1144</v>
      </c>
    </row>
    <row r="11" spans="1:8" ht="20" customHeight="1" x14ac:dyDescent="0.35">
      <c r="A11" s="41" t="s">
        <v>5</v>
      </c>
      <c r="B11" s="44" t="s">
        <v>369</v>
      </c>
      <c r="C11" s="48">
        <v>4.36E-2</v>
      </c>
      <c r="D11" s="48">
        <v>4.58E-2</v>
      </c>
      <c r="E11" s="48">
        <v>4.6199999999999998E-2</v>
      </c>
      <c r="F11" s="43" t="s">
        <v>3</v>
      </c>
      <c r="G11" s="22" t="s">
        <v>1006</v>
      </c>
      <c r="H11" s="184" t="s">
        <v>1144</v>
      </c>
    </row>
    <row r="12" spans="1:8" ht="20" customHeight="1" x14ac:dyDescent="0.35">
      <c r="A12" s="12"/>
      <c r="B12" s="12"/>
      <c r="C12" s="12"/>
      <c r="D12" s="12"/>
      <c r="E12" s="12"/>
      <c r="F12" s="12"/>
      <c r="G12" s="12"/>
      <c r="H12" s="12"/>
    </row>
    <row r="13" spans="1:8" ht="20" customHeight="1" x14ac:dyDescent="0.35">
      <c r="A13" s="12"/>
      <c r="B13" s="12"/>
      <c r="C13" s="12"/>
      <c r="D13" s="12"/>
      <c r="E13" s="12"/>
      <c r="F13" s="12"/>
      <c r="G13" s="12"/>
      <c r="H13" s="12"/>
    </row>
    <row r="14" spans="1:8" ht="24" customHeight="1" x14ac:dyDescent="0.35">
      <c r="A14" s="294" t="s">
        <v>370</v>
      </c>
      <c r="B14" s="294"/>
      <c r="C14" s="294"/>
      <c r="D14" s="294"/>
      <c r="E14" s="294"/>
      <c r="F14" s="294"/>
      <c r="G14" s="294"/>
      <c r="H14" s="16"/>
    </row>
    <row r="15" spans="1:8" ht="20" customHeight="1" x14ac:dyDescent="0.35">
      <c r="A15" s="17" t="s">
        <v>371</v>
      </c>
      <c r="B15" s="17" t="s">
        <v>0</v>
      </c>
      <c r="C15" s="17" t="s">
        <v>1</v>
      </c>
      <c r="D15" s="17" t="s">
        <v>2</v>
      </c>
      <c r="E15" s="17" t="s">
        <v>142</v>
      </c>
      <c r="F15" s="17" t="s">
        <v>316</v>
      </c>
      <c r="G15" s="17" t="s">
        <v>372</v>
      </c>
      <c r="H15" s="12"/>
    </row>
    <row r="16" spans="1:8" ht="20" customHeight="1" x14ac:dyDescent="0.35">
      <c r="A16" s="27" t="s">
        <v>373</v>
      </c>
      <c r="B16" s="173">
        <v>91828</v>
      </c>
      <c r="C16" s="173">
        <v>92857</v>
      </c>
      <c r="D16" s="173">
        <v>98128</v>
      </c>
      <c r="E16" s="174">
        <f t="shared" ref="E16:E24" si="0">C16-B16</f>
        <v>1029</v>
      </c>
      <c r="F16" s="174">
        <f t="shared" ref="F16:F24" si="1">D16-C16</f>
        <v>5271</v>
      </c>
      <c r="G16" s="38" t="s">
        <v>382</v>
      </c>
      <c r="H16" s="12"/>
    </row>
    <row r="17" spans="1:8" ht="20" customHeight="1" x14ac:dyDescent="0.35">
      <c r="A17" s="28" t="s">
        <v>374</v>
      </c>
      <c r="B17" s="53">
        <v>11616</v>
      </c>
      <c r="C17" s="53">
        <v>14644</v>
      </c>
      <c r="D17" s="53">
        <v>15640</v>
      </c>
      <c r="E17" s="152">
        <f t="shared" si="0"/>
        <v>3028</v>
      </c>
      <c r="F17" s="152">
        <f t="shared" si="1"/>
        <v>996</v>
      </c>
      <c r="G17" s="40" t="s">
        <v>382</v>
      </c>
      <c r="H17" s="12"/>
    </row>
    <row r="18" spans="1:8" ht="20" customHeight="1" x14ac:dyDescent="0.35">
      <c r="A18" s="28" t="s">
        <v>375</v>
      </c>
      <c r="B18" s="53">
        <v>103445</v>
      </c>
      <c r="C18" s="53">
        <v>107501</v>
      </c>
      <c r="D18" s="53">
        <v>113768</v>
      </c>
      <c r="E18" s="152">
        <f t="shared" si="0"/>
        <v>4056</v>
      </c>
      <c r="F18" s="152">
        <f t="shared" si="1"/>
        <v>6267</v>
      </c>
      <c r="G18" s="40" t="s">
        <v>382</v>
      </c>
      <c r="H18" s="12"/>
    </row>
    <row r="19" spans="1:8" ht="20" customHeight="1" x14ac:dyDescent="0.35">
      <c r="A19" s="28" t="s">
        <v>376</v>
      </c>
      <c r="B19" s="53">
        <v>17117</v>
      </c>
      <c r="C19" s="53">
        <v>14243</v>
      </c>
      <c r="D19" s="53">
        <v>16813</v>
      </c>
      <c r="E19" s="152">
        <f t="shared" si="0"/>
        <v>-2874</v>
      </c>
      <c r="F19" s="152">
        <f t="shared" si="1"/>
        <v>2570</v>
      </c>
      <c r="G19" s="40" t="s">
        <v>383</v>
      </c>
      <c r="H19" s="12"/>
    </row>
    <row r="20" spans="1:8" ht="20" customHeight="1" x14ac:dyDescent="0.35">
      <c r="A20" s="29" t="s">
        <v>377</v>
      </c>
      <c r="B20" s="185">
        <f>B18+B19</f>
        <v>120562</v>
      </c>
      <c r="C20" s="185">
        <f>C18+C19</f>
        <v>121744</v>
      </c>
      <c r="D20" s="185">
        <f>D18+D19</f>
        <v>130581</v>
      </c>
      <c r="E20" s="185">
        <f t="shared" si="0"/>
        <v>1182</v>
      </c>
      <c r="F20" s="185">
        <f t="shared" si="1"/>
        <v>8837</v>
      </c>
      <c r="G20" s="186" t="s">
        <v>384</v>
      </c>
      <c r="H20" s="12"/>
    </row>
    <row r="21" spans="1:8" ht="20" customHeight="1" x14ac:dyDescent="0.35">
      <c r="A21" s="187" t="s">
        <v>378</v>
      </c>
      <c r="B21" s="143">
        <v>744851</v>
      </c>
      <c r="C21" s="143">
        <v>703694</v>
      </c>
      <c r="D21" s="143">
        <v>762247</v>
      </c>
      <c r="E21" s="143">
        <f t="shared" si="0"/>
        <v>-41157</v>
      </c>
      <c r="F21" s="143">
        <f t="shared" si="1"/>
        <v>58553</v>
      </c>
      <c r="G21" s="180" t="s">
        <v>385</v>
      </c>
      <c r="H21" s="12"/>
    </row>
    <row r="22" spans="1:8" ht="20" customHeight="1" x14ac:dyDescent="0.35">
      <c r="A22" s="28" t="s">
        <v>379</v>
      </c>
      <c r="B22" s="53">
        <v>579635</v>
      </c>
      <c r="C22" s="53">
        <v>535141</v>
      </c>
      <c r="D22" s="53">
        <v>579602</v>
      </c>
      <c r="E22" s="152">
        <f t="shared" si="0"/>
        <v>-44494</v>
      </c>
      <c r="F22" s="152">
        <f t="shared" si="1"/>
        <v>44461</v>
      </c>
      <c r="G22" s="40" t="s">
        <v>383</v>
      </c>
      <c r="H22" s="12"/>
    </row>
    <row r="23" spans="1:8" ht="20" customHeight="1" x14ac:dyDescent="0.35">
      <c r="A23" s="28" t="s">
        <v>380</v>
      </c>
      <c r="B23" s="53">
        <v>25543</v>
      </c>
      <c r="C23" s="53">
        <v>28783</v>
      </c>
      <c r="D23" s="53">
        <v>28123</v>
      </c>
      <c r="E23" s="152">
        <f t="shared" si="0"/>
        <v>3240</v>
      </c>
      <c r="F23" s="152">
        <f t="shared" si="1"/>
        <v>-660</v>
      </c>
      <c r="G23" s="40" t="s">
        <v>386</v>
      </c>
      <c r="H23" s="12"/>
    </row>
    <row r="24" spans="1:8" ht="20" customHeight="1" x14ac:dyDescent="0.35">
      <c r="A24" s="351" t="s">
        <v>381</v>
      </c>
      <c r="B24" s="352">
        <v>61656</v>
      </c>
      <c r="C24" s="352">
        <v>58897</v>
      </c>
      <c r="D24" s="352">
        <v>64964</v>
      </c>
      <c r="E24" s="353">
        <f t="shared" si="0"/>
        <v>-2759</v>
      </c>
      <c r="F24" s="353">
        <f t="shared" si="1"/>
        <v>6067</v>
      </c>
      <c r="G24" s="44" t="s">
        <v>387</v>
      </c>
      <c r="H24" s="37"/>
    </row>
    <row r="25" spans="1:8" ht="20" customHeight="1" x14ac:dyDescent="0.35">
      <c r="A25" s="37"/>
      <c r="B25" s="37"/>
      <c r="C25" s="37"/>
      <c r="D25" s="37"/>
      <c r="E25" s="37"/>
      <c r="F25" s="37"/>
      <c r="G25" s="37"/>
      <c r="H25" s="37"/>
    </row>
    <row r="26" spans="1:8" ht="20" customHeight="1" x14ac:dyDescent="0.35">
      <c r="A26" s="12"/>
      <c r="B26" s="12"/>
      <c r="C26" s="12"/>
      <c r="D26" s="12"/>
      <c r="E26" s="12"/>
      <c r="F26" s="12"/>
      <c r="G26" s="12"/>
      <c r="H26" s="12"/>
    </row>
    <row r="27" spans="1:8" ht="24" customHeight="1" x14ac:dyDescent="0.35">
      <c r="A27" s="294" t="s">
        <v>827</v>
      </c>
      <c r="B27" s="294"/>
      <c r="C27" s="294"/>
      <c r="D27" s="294"/>
      <c r="E27" s="294"/>
      <c r="F27" s="294"/>
      <c r="G27" s="294"/>
      <c r="H27" s="294"/>
    </row>
    <row r="28" spans="1:8" ht="20" customHeight="1" x14ac:dyDescent="0.35">
      <c r="A28" s="17" t="s">
        <v>146</v>
      </c>
      <c r="B28" s="17" t="s">
        <v>388</v>
      </c>
      <c r="C28" s="17" t="s">
        <v>389</v>
      </c>
      <c r="D28" s="17" t="s">
        <v>390</v>
      </c>
      <c r="E28" s="17" t="s">
        <v>149</v>
      </c>
      <c r="F28" s="12"/>
      <c r="G28" s="12"/>
      <c r="H28" s="12"/>
    </row>
    <row r="29" spans="1:8" ht="20" customHeight="1" x14ac:dyDescent="0.35">
      <c r="A29" s="25" t="s">
        <v>391</v>
      </c>
      <c r="B29" s="45">
        <v>0.12870000000000001</v>
      </c>
      <c r="C29" s="45" t="s">
        <v>826</v>
      </c>
      <c r="D29" s="45" t="s">
        <v>137</v>
      </c>
      <c r="E29" s="63" t="s">
        <v>828</v>
      </c>
      <c r="F29" s="12"/>
      <c r="G29" s="12"/>
      <c r="H29" s="12"/>
    </row>
    <row r="30" spans="1:8" ht="20" customHeight="1" x14ac:dyDescent="0.35">
      <c r="A30" s="26" t="s">
        <v>392</v>
      </c>
      <c r="B30" s="47">
        <f>E9</f>
        <v>0.14929999999999999</v>
      </c>
      <c r="C30" s="47">
        <v>0.105</v>
      </c>
      <c r="D30" s="47">
        <f>B30-C30</f>
        <v>4.4299999999999992E-2</v>
      </c>
      <c r="E30" s="30" t="str">
        <f>IF(D30&gt;0,"PASS","CHECK")</f>
        <v>PASS</v>
      </c>
      <c r="F30" s="12"/>
      <c r="G30" s="12"/>
      <c r="H30" s="12"/>
    </row>
    <row r="31" spans="1:8" ht="20" customHeight="1" x14ac:dyDescent="0.35">
      <c r="A31" s="26" t="s">
        <v>377</v>
      </c>
      <c r="B31" s="47">
        <f>E10</f>
        <v>0.17130000000000001</v>
      </c>
      <c r="C31" s="47">
        <v>0.125</v>
      </c>
      <c r="D31" s="47">
        <f>B31-C31</f>
        <v>4.6300000000000008E-2</v>
      </c>
      <c r="E31" s="30" t="str">
        <f>IF(D31&gt;0,"PASS","CHECK")</f>
        <v>PASS</v>
      </c>
      <c r="F31" s="12"/>
      <c r="G31" s="12"/>
      <c r="H31" s="12"/>
    </row>
    <row r="32" spans="1:8" ht="20" customHeight="1" x14ac:dyDescent="0.35">
      <c r="A32" s="60" t="s">
        <v>393</v>
      </c>
      <c r="B32" s="48">
        <f>E11</f>
        <v>4.6199999999999998E-2</v>
      </c>
      <c r="C32" s="48">
        <v>0.03</v>
      </c>
      <c r="D32" s="48">
        <f>B32-C32</f>
        <v>1.6199999999999999E-2</v>
      </c>
      <c r="E32" s="62" t="str">
        <f>IF(D32&gt;0,"PASS","CHECK")</f>
        <v>PASS</v>
      </c>
      <c r="F32" s="12"/>
      <c r="G32" s="12"/>
      <c r="H32" s="12"/>
    </row>
    <row r="33" spans="1:8" ht="20" customHeight="1" x14ac:dyDescent="0.35">
      <c r="A33" s="12"/>
      <c r="B33" s="12"/>
      <c r="C33" s="12"/>
      <c r="D33" s="12"/>
      <c r="E33" s="12"/>
      <c r="F33" s="12"/>
      <c r="G33" s="12"/>
      <c r="H33" s="12"/>
    </row>
    <row r="34" spans="1:8" ht="24" customHeight="1" x14ac:dyDescent="0.35">
      <c r="A34" s="294" t="s">
        <v>262</v>
      </c>
      <c r="B34" s="294"/>
      <c r="C34" s="294"/>
      <c r="D34" s="294"/>
      <c r="E34" s="294"/>
      <c r="F34" s="294"/>
      <c r="G34" s="294"/>
      <c r="H34" s="294"/>
    </row>
    <row r="35" spans="1:8" ht="25" customHeight="1" x14ac:dyDescent="0.35">
      <c r="A35" s="298" t="s">
        <v>1149</v>
      </c>
      <c r="B35" s="298"/>
      <c r="C35" s="298"/>
      <c r="D35" s="298"/>
      <c r="E35" s="298"/>
      <c r="F35" s="298"/>
      <c r="G35" s="298"/>
      <c r="H35" s="298"/>
    </row>
    <row r="36" spans="1:8" ht="25" customHeight="1" x14ac:dyDescent="0.35">
      <c r="A36" s="298"/>
      <c r="B36" s="298"/>
      <c r="C36" s="298"/>
      <c r="D36" s="298"/>
      <c r="E36" s="298"/>
      <c r="F36" s="298"/>
      <c r="G36" s="298"/>
      <c r="H36" s="298"/>
    </row>
    <row r="37" spans="1:8" ht="25" customHeight="1" x14ac:dyDescent="0.35">
      <c r="A37" s="298"/>
      <c r="B37" s="298"/>
      <c r="C37" s="298"/>
      <c r="D37" s="298"/>
      <c r="E37" s="298"/>
      <c r="F37" s="298"/>
      <c r="G37" s="298"/>
      <c r="H37" s="298"/>
    </row>
    <row r="38" spans="1:8" ht="20" customHeight="1" x14ac:dyDescent="0.35">
      <c r="A38"/>
      <c r="B38"/>
      <c r="C38"/>
      <c r="D38"/>
      <c r="E38"/>
      <c r="F38"/>
      <c r="G38"/>
      <c r="H38"/>
    </row>
    <row r="39" spans="1:8" ht="20" customHeight="1" x14ac:dyDescent="0.35">
      <c r="A39"/>
      <c r="B39"/>
      <c r="C39"/>
      <c r="D39"/>
      <c r="E39"/>
      <c r="F39"/>
      <c r="G39"/>
      <c r="H39"/>
    </row>
    <row r="40" spans="1:8" ht="20" customHeight="1" x14ac:dyDescent="0.35">
      <c r="A40"/>
      <c r="B40"/>
      <c r="C40"/>
      <c r="D40"/>
      <c r="E40"/>
      <c r="F40"/>
      <c r="G40"/>
      <c r="H40"/>
    </row>
  </sheetData>
  <mergeCells count="9">
    <mergeCell ref="A34:H34"/>
    <mergeCell ref="A35:H37"/>
    <mergeCell ref="A1:H1"/>
    <mergeCell ref="A2:H2"/>
    <mergeCell ref="A3:H3"/>
    <mergeCell ref="A4:H4"/>
    <mergeCell ref="A6:H6"/>
    <mergeCell ref="A14:G14"/>
    <mergeCell ref="A27:H2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ED0E-39F0-4E21-B714-13218EA70816}">
  <sheetPr>
    <tabColor rgb="FF70AD47"/>
  </sheetPr>
  <dimension ref="A1:H35"/>
  <sheetViews>
    <sheetView showGridLines="0" topLeftCell="A26" workbookViewId="0">
      <selection activeCell="B16" sqref="B16"/>
    </sheetView>
  </sheetViews>
  <sheetFormatPr defaultColWidth="28.7265625" defaultRowHeight="20" customHeight="1" x14ac:dyDescent="0.35"/>
  <cols>
    <col min="1" max="2" width="29.08984375" style="1" customWidth="1"/>
    <col min="3" max="3" width="15.1796875" style="1" bestFit="1" customWidth="1"/>
    <col min="4" max="4" width="7.26953125" style="1" bestFit="1" customWidth="1"/>
    <col min="5" max="6" width="9.90625" style="1" bestFit="1" customWidth="1"/>
    <col min="7" max="8" width="25.453125" style="1" customWidth="1"/>
    <col min="9" max="16384" width="28.7265625" style="1"/>
  </cols>
  <sheetData>
    <row r="1" spans="1:8" ht="48" customHeight="1" x14ac:dyDescent="0.35">
      <c r="A1" s="291" t="s">
        <v>394</v>
      </c>
      <c r="B1" s="291"/>
      <c r="C1" s="291"/>
      <c r="D1" s="291"/>
      <c r="E1" s="291"/>
      <c r="F1" s="291"/>
      <c r="G1" s="291"/>
      <c r="H1" s="291"/>
    </row>
    <row r="2" spans="1:8" ht="24" customHeight="1" x14ac:dyDescent="0.35">
      <c r="A2" s="292" t="s">
        <v>395</v>
      </c>
      <c r="B2" s="292"/>
      <c r="C2" s="292"/>
      <c r="D2" s="292"/>
      <c r="E2" s="292"/>
      <c r="F2" s="292"/>
      <c r="G2" s="292"/>
      <c r="H2" s="292"/>
    </row>
    <row r="3" spans="1:8" ht="24" customHeight="1" x14ac:dyDescent="0.35">
      <c r="A3" s="293" t="s">
        <v>396</v>
      </c>
      <c r="B3" s="293"/>
      <c r="C3" s="293"/>
      <c r="D3" s="293"/>
      <c r="E3" s="293"/>
      <c r="F3" s="293"/>
      <c r="G3" s="293"/>
      <c r="H3" s="293"/>
    </row>
    <row r="4" spans="1:8" ht="40" customHeight="1" x14ac:dyDescent="0.35">
      <c r="A4" s="311" t="s">
        <v>397</v>
      </c>
      <c r="B4" s="311"/>
      <c r="C4" s="311"/>
      <c r="D4" s="311"/>
      <c r="E4" s="311"/>
      <c r="F4" s="311"/>
      <c r="G4" s="311"/>
      <c r="H4" s="311"/>
    </row>
    <row r="5" spans="1:8" ht="20" customHeight="1" x14ac:dyDescent="0.35">
      <c r="A5" s="12"/>
      <c r="B5" s="12"/>
      <c r="C5" s="12"/>
      <c r="D5" s="12"/>
      <c r="E5" s="12"/>
      <c r="F5" s="12"/>
      <c r="G5" s="12"/>
      <c r="H5" s="12"/>
    </row>
    <row r="6" spans="1:8" ht="24" customHeight="1" x14ac:dyDescent="0.35">
      <c r="A6" s="294" t="s">
        <v>398</v>
      </c>
      <c r="B6" s="294"/>
      <c r="C6" s="294"/>
      <c r="D6" s="294"/>
      <c r="E6" s="294"/>
      <c r="F6" s="294"/>
      <c r="G6" s="294"/>
      <c r="H6" s="294"/>
    </row>
    <row r="7" spans="1:8" ht="20" customHeight="1" x14ac:dyDescent="0.35">
      <c r="A7" s="17" t="s">
        <v>146</v>
      </c>
      <c r="B7" s="17" t="s">
        <v>399</v>
      </c>
      <c r="C7" s="17" t="s">
        <v>904</v>
      </c>
      <c r="D7" s="17" t="s">
        <v>1</v>
      </c>
      <c r="E7" s="17" t="s">
        <v>2</v>
      </c>
      <c r="F7" s="17" t="s">
        <v>208</v>
      </c>
      <c r="G7" s="17" t="s">
        <v>400</v>
      </c>
      <c r="H7" s="17" t="s">
        <v>209</v>
      </c>
    </row>
    <row r="8" spans="1:8" ht="26" x14ac:dyDescent="0.35">
      <c r="A8" s="27" t="s">
        <v>401</v>
      </c>
      <c r="B8" s="176" t="s">
        <v>402</v>
      </c>
      <c r="C8" s="45">
        <v>1.7000000000000001E-2</v>
      </c>
      <c r="D8" s="45">
        <v>1.7000000000000001E-2</v>
      </c>
      <c r="E8" s="45">
        <v>1.6E-2</v>
      </c>
      <c r="F8" s="23" t="s">
        <v>241</v>
      </c>
      <c r="G8" s="38" t="s">
        <v>848</v>
      </c>
      <c r="H8" s="179" t="s">
        <v>248</v>
      </c>
    </row>
    <row r="9" spans="1:8" ht="26" x14ac:dyDescent="0.35">
      <c r="A9" s="28" t="s">
        <v>140</v>
      </c>
      <c r="B9" s="177" t="s">
        <v>403</v>
      </c>
      <c r="C9" s="47">
        <v>0.72499999999999998</v>
      </c>
      <c r="D9" s="47">
        <v>0.71699999999999997</v>
      </c>
      <c r="E9" s="47">
        <v>0.69699999999999995</v>
      </c>
      <c r="F9" s="24" t="s">
        <v>241</v>
      </c>
      <c r="G9" s="40" t="s">
        <v>404</v>
      </c>
      <c r="H9" s="181" t="s">
        <v>405</v>
      </c>
    </row>
    <row r="10" spans="1:8" ht="26" x14ac:dyDescent="0.35">
      <c r="A10" s="28" t="s">
        <v>218</v>
      </c>
      <c r="B10" s="177" t="s">
        <v>946</v>
      </c>
      <c r="C10" s="49">
        <f>'📄 INCOME_STATEMENT'!B27</f>
        <v>3003</v>
      </c>
      <c r="D10" s="49">
        <f>'📄 INCOME_STATEMENT'!C27</f>
        <v>2907</v>
      </c>
      <c r="E10" s="49">
        <f>'📄 INCOME_STATEMENT'!D27</f>
        <v>2999</v>
      </c>
      <c r="F10" s="24" t="s">
        <v>236</v>
      </c>
      <c r="G10" s="40" t="s">
        <v>947</v>
      </c>
      <c r="H10" s="57" t="s">
        <v>948</v>
      </c>
    </row>
    <row r="11" spans="1:8" ht="26" x14ac:dyDescent="0.35">
      <c r="A11" s="28" t="s">
        <v>152</v>
      </c>
      <c r="B11" s="177" t="s">
        <v>949</v>
      </c>
      <c r="C11" s="245">
        <f>'📄 INCOME_STATEMENT'!B49</f>
        <v>31</v>
      </c>
      <c r="D11" s="245">
        <f>'📄 INCOME_STATEMENT'!C49</f>
        <v>32</v>
      </c>
      <c r="E11" s="245">
        <f>'📄 INCOME_STATEMENT'!D49</f>
        <v>33</v>
      </c>
      <c r="F11" s="24" t="s">
        <v>3</v>
      </c>
      <c r="G11" s="40" t="s">
        <v>849</v>
      </c>
      <c r="H11" s="57" t="s">
        <v>950</v>
      </c>
    </row>
    <row r="12" spans="1:8" ht="20" customHeight="1" x14ac:dyDescent="0.35">
      <c r="A12" s="28" t="s">
        <v>141</v>
      </c>
      <c r="B12" s="177" t="s">
        <v>406</v>
      </c>
      <c r="C12" s="49">
        <v>2035</v>
      </c>
      <c r="D12" s="49">
        <v>1938</v>
      </c>
      <c r="E12" s="49">
        <v>1785</v>
      </c>
      <c r="F12" s="24" t="s">
        <v>241</v>
      </c>
      <c r="G12" s="40" t="s">
        <v>250</v>
      </c>
      <c r="H12" s="57" t="s">
        <v>407</v>
      </c>
    </row>
    <row r="13" spans="1:8" ht="26" x14ac:dyDescent="0.35">
      <c r="A13" s="28" t="s">
        <v>229</v>
      </c>
      <c r="B13" s="177" t="s">
        <v>408</v>
      </c>
      <c r="C13" s="49">
        <v>2860</v>
      </c>
      <c r="D13" s="49">
        <v>2416</v>
      </c>
      <c r="E13" s="49">
        <v>1939</v>
      </c>
      <c r="F13" s="24" t="s">
        <v>241</v>
      </c>
      <c r="G13" s="40" t="s">
        <v>409</v>
      </c>
      <c r="H13" s="57" t="s">
        <v>407</v>
      </c>
    </row>
    <row r="14" spans="1:8" ht="26" x14ac:dyDescent="0.35">
      <c r="A14" s="28" t="s">
        <v>230</v>
      </c>
      <c r="B14" s="177" t="s">
        <v>410</v>
      </c>
      <c r="C14" s="49">
        <v>13616</v>
      </c>
      <c r="D14" s="49">
        <v>13361</v>
      </c>
      <c r="E14" s="49">
        <v>13457</v>
      </c>
      <c r="F14" s="24" t="s">
        <v>247</v>
      </c>
      <c r="G14" s="40" t="s">
        <v>411</v>
      </c>
      <c r="H14" s="57" t="s">
        <v>386</v>
      </c>
    </row>
    <row r="15" spans="1:8" ht="26" x14ac:dyDescent="0.35">
      <c r="A15" s="351" t="s">
        <v>412</v>
      </c>
      <c r="B15" s="178" t="s">
        <v>413</v>
      </c>
      <c r="C15" s="50">
        <v>18511</v>
      </c>
      <c r="D15" s="50">
        <v>17715</v>
      </c>
      <c r="E15" s="50">
        <v>17181</v>
      </c>
      <c r="F15" s="43" t="s">
        <v>241</v>
      </c>
      <c r="G15" s="44" t="s">
        <v>414</v>
      </c>
      <c r="H15" s="56" t="s">
        <v>407</v>
      </c>
    </row>
    <row r="16" spans="1:8" ht="20" customHeight="1" x14ac:dyDescent="0.35">
      <c r="A16" s="12"/>
      <c r="B16" s="12"/>
      <c r="C16" s="12"/>
      <c r="D16" s="12"/>
      <c r="E16" s="12"/>
      <c r="F16" s="12"/>
      <c r="G16" s="12"/>
      <c r="H16" s="12"/>
    </row>
    <row r="17" spans="1:8" ht="20" customHeight="1" x14ac:dyDescent="0.35">
      <c r="A17" s="12"/>
      <c r="B17" s="12"/>
      <c r="C17" s="12"/>
      <c r="D17" s="12"/>
      <c r="E17" s="12"/>
      <c r="F17" s="12"/>
      <c r="G17" s="12"/>
      <c r="H17" s="12"/>
    </row>
    <row r="18" spans="1:8" ht="24" customHeight="1" x14ac:dyDescent="0.35">
      <c r="A18" s="294" t="s">
        <v>415</v>
      </c>
      <c r="B18" s="294"/>
      <c r="C18" s="294"/>
      <c r="D18" s="294"/>
      <c r="E18" s="294"/>
      <c r="F18" s="294"/>
      <c r="G18" s="294"/>
      <c r="H18" s="16"/>
    </row>
    <row r="19" spans="1:8" ht="20" customHeight="1" x14ac:dyDescent="0.35">
      <c r="A19" s="17" t="s">
        <v>371</v>
      </c>
      <c r="B19" s="17" t="s">
        <v>0</v>
      </c>
      <c r="C19" s="17" t="s">
        <v>1</v>
      </c>
      <c r="D19" s="17" t="s">
        <v>2</v>
      </c>
      <c r="E19" s="17" t="s">
        <v>142</v>
      </c>
      <c r="F19" s="17" t="s">
        <v>316</v>
      </c>
      <c r="G19" s="17" t="s">
        <v>372</v>
      </c>
      <c r="H19" s="12"/>
    </row>
    <row r="20" spans="1:8" ht="20" customHeight="1" x14ac:dyDescent="0.35">
      <c r="A20" s="27" t="s">
        <v>416</v>
      </c>
      <c r="B20" s="173">
        <f t="shared" ref="B20:D23" si="0">C12</f>
        <v>2035</v>
      </c>
      <c r="C20" s="173">
        <f t="shared" si="0"/>
        <v>1938</v>
      </c>
      <c r="D20" s="173">
        <f t="shared" si="0"/>
        <v>1785</v>
      </c>
      <c r="E20" s="174">
        <f t="shared" ref="E20:F23" si="1">C20-B20</f>
        <v>-97</v>
      </c>
      <c r="F20" s="174">
        <f t="shared" si="1"/>
        <v>-153</v>
      </c>
      <c r="G20" s="182" t="s">
        <v>420</v>
      </c>
      <c r="H20" s="12"/>
    </row>
    <row r="21" spans="1:8" ht="20" customHeight="1" x14ac:dyDescent="0.35">
      <c r="A21" s="28" t="s">
        <v>417</v>
      </c>
      <c r="B21" s="53">
        <f t="shared" si="0"/>
        <v>2860</v>
      </c>
      <c r="C21" s="53">
        <f t="shared" si="0"/>
        <v>2416</v>
      </c>
      <c r="D21" s="53">
        <f t="shared" si="0"/>
        <v>1939</v>
      </c>
      <c r="E21" s="152">
        <f t="shared" si="1"/>
        <v>-444</v>
      </c>
      <c r="F21" s="152">
        <f t="shared" si="1"/>
        <v>-477</v>
      </c>
      <c r="G21" s="183" t="s">
        <v>420</v>
      </c>
      <c r="H21" s="12"/>
    </row>
    <row r="22" spans="1:8" ht="20" customHeight="1" x14ac:dyDescent="0.35">
      <c r="A22" s="28" t="s">
        <v>418</v>
      </c>
      <c r="B22" s="53">
        <f t="shared" si="0"/>
        <v>13616</v>
      </c>
      <c r="C22" s="53">
        <f t="shared" si="0"/>
        <v>13361</v>
      </c>
      <c r="D22" s="53">
        <f t="shared" si="0"/>
        <v>13457</v>
      </c>
      <c r="E22" s="152">
        <f t="shared" si="1"/>
        <v>-255</v>
      </c>
      <c r="F22" s="152">
        <f t="shared" si="1"/>
        <v>96</v>
      </c>
      <c r="G22" s="183" t="s">
        <v>386</v>
      </c>
      <c r="H22" s="12"/>
    </row>
    <row r="23" spans="1:8" ht="20" customHeight="1" x14ac:dyDescent="0.35">
      <c r="A23" s="41" t="s">
        <v>419</v>
      </c>
      <c r="B23" s="52">
        <f t="shared" si="0"/>
        <v>18511</v>
      </c>
      <c r="C23" s="52">
        <f t="shared" si="0"/>
        <v>17715</v>
      </c>
      <c r="D23" s="52">
        <f t="shared" si="0"/>
        <v>17181</v>
      </c>
      <c r="E23" s="175">
        <f t="shared" si="1"/>
        <v>-796</v>
      </c>
      <c r="F23" s="175">
        <f t="shared" si="1"/>
        <v>-534</v>
      </c>
      <c r="G23" s="184" t="s">
        <v>420</v>
      </c>
      <c r="H23" s="12"/>
    </row>
    <row r="24" spans="1:8" ht="20" customHeight="1" x14ac:dyDescent="0.35">
      <c r="A24" s="12"/>
      <c r="B24" s="12"/>
      <c r="C24" s="12"/>
      <c r="D24" s="12"/>
      <c r="E24" s="12"/>
      <c r="F24" s="12"/>
      <c r="G24" s="12"/>
      <c r="H24" s="12"/>
    </row>
    <row r="25" spans="1:8" ht="20" customHeight="1" x14ac:dyDescent="0.35">
      <c r="A25" s="12"/>
      <c r="B25" s="12"/>
      <c r="C25" s="12"/>
      <c r="D25" s="12"/>
      <c r="E25" s="12"/>
      <c r="F25" s="12"/>
      <c r="G25" s="12"/>
      <c r="H25" s="12"/>
    </row>
    <row r="26" spans="1:8" ht="24" customHeight="1" x14ac:dyDescent="0.35">
      <c r="A26" s="294" t="s">
        <v>421</v>
      </c>
      <c r="B26" s="294"/>
      <c r="C26" s="294"/>
      <c r="D26" s="294"/>
      <c r="E26" s="294"/>
      <c r="F26" s="294"/>
      <c r="G26" s="294"/>
      <c r="H26" s="294"/>
    </row>
    <row r="27" spans="1:8" ht="28" customHeight="1" x14ac:dyDescent="0.35">
      <c r="A27" s="314" t="s">
        <v>422</v>
      </c>
      <c r="B27" s="314"/>
      <c r="C27" s="314"/>
      <c r="D27" s="314"/>
      <c r="E27" s="314"/>
      <c r="F27" s="314"/>
      <c r="G27" s="314"/>
      <c r="H27" s="314"/>
    </row>
    <row r="28" spans="1:8" ht="28" customHeight="1" x14ac:dyDescent="0.35">
      <c r="A28" s="314"/>
      <c r="B28" s="314"/>
      <c r="C28" s="314"/>
      <c r="D28" s="314"/>
      <c r="E28" s="314"/>
      <c r="F28" s="314"/>
      <c r="G28" s="314"/>
      <c r="H28" s="314"/>
    </row>
    <row r="29" spans="1:8" ht="20" customHeight="1" x14ac:dyDescent="0.35">
      <c r="A29" s="12"/>
      <c r="B29" s="12"/>
      <c r="C29" s="12"/>
      <c r="D29" s="12"/>
      <c r="E29" s="12"/>
      <c r="F29" s="12"/>
      <c r="G29" s="12"/>
      <c r="H29" s="12"/>
    </row>
    <row r="30" spans="1:8" ht="24" customHeight="1" x14ac:dyDescent="0.35">
      <c r="A30" s="294" t="s">
        <v>262</v>
      </c>
      <c r="B30" s="294"/>
      <c r="C30" s="294"/>
      <c r="D30" s="294"/>
      <c r="E30" s="294"/>
      <c r="F30" s="294"/>
      <c r="G30" s="294"/>
      <c r="H30" s="294"/>
    </row>
    <row r="31" spans="1:8" ht="25" customHeight="1" x14ac:dyDescent="0.35">
      <c r="A31" s="298" t="s">
        <v>1009</v>
      </c>
      <c r="B31" s="298"/>
      <c r="C31" s="298"/>
      <c r="D31" s="298"/>
      <c r="E31" s="298"/>
      <c r="F31" s="298"/>
      <c r="G31" s="298"/>
      <c r="H31" s="298"/>
    </row>
    <row r="32" spans="1:8" ht="25" customHeight="1" x14ac:dyDescent="0.35">
      <c r="A32" s="298"/>
      <c r="B32" s="298"/>
      <c r="C32" s="298"/>
      <c r="D32" s="298"/>
      <c r="E32" s="298"/>
      <c r="F32" s="298"/>
      <c r="G32" s="298"/>
      <c r="H32" s="298"/>
    </row>
    <row r="33" spans="1:8" ht="25" customHeight="1" x14ac:dyDescent="0.35">
      <c r="A33" s="298"/>
      <c r="B33" s="298"/>
      <c r="C33" s="298"/>
      <c r="D33" s="298"/>
      <c r="E33" s="298"/>
      <c r="F33" s="298"/>
      <c r="G33" s="298"/>
      <c r="H33" s="298"/>
    </row>
    <row r="34" spans="1:8" ht="20" customHeight="1" x14ac:dyDescent="0.35">
      <c r="A34"/>
      <c r="B34"/>
      <c r="C34"/>
      <c r="D34"/>
      <c r="E34"/>
      <c r="F34"/>
      <c r="G34"/>
      <c r="H34"/>
    </row>
    <row r="35" spans="1:8" ht="20" customHeight="1" x14ac:dyDescent="0.35">
      <c r="A35"/>
      <c r="B35"/>
      <c r="C35"/>
      <c r="D35"/>
      <c r="E35"/>
      <c r="F35"/>
      <c r="G35"/>
      <c r="H35"/>
    </row>
  </sheetData>
  <mergeCells count="10">
    <mergeCell ref="A1:H1"/>
    <mergeCell ref="A2:H2"/>
    <mergeCell ref="A3:H3"/>
    <mergeCell ref="A4:H4"/>
    <mergeCell ref="A6:H6"/>
    <mergeCell ref="A18:G18"/>
    <mergeCell ref="A26:H26"/>
    <mergeCell ref="A27:H28"/>
    <mergeCell ref="A30:H30"/>
    <mergeCell ref="A31:H3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1C07E-B499-4853-B830-348D685CA765}">
  <sheetPr>
    <tabColor rgb="FF70AD47"/>
  </sheetPr>
  <dimension ref="A1:H30"/>
  <sheetViews>
    <sheetView topLeftCell="A25" workbookViewId="0">
      <selection activeCell="G20" sqref="G20"/>
    </sheetView>
  </sheetViews>
  <sheetFormatPr defaultColWidth="37.90625" defaultRowHeight="20" customHeight="1" x14ac:dyDescent="0.35"/>
  <cols>
    <col min="1" max="1" width="32.26953125" style="1" bestFit="1" customWidth="1"/>
    <col min="2" max="2" width="32.36328125" style="1" bestFit="1" customWidth="1"/>
    <col min="3" max="3" width="15.1796875" style="1" bestFit="1" customWidth="1"/>
    <col min="4" max="4" width="7.36328125" style="1" bestFit="1" customWidth="1"/>
    <col min="5" max="5" width="13.7265625" style="1" bestFit="1" customWidth="1"/>
    <col min="6" max="6" width="12.90625" style="1" bestFit="1" customWidth="1"/>
    <col min="7" max="7" width="18.26953125" style="1" bestFit="1" customWidth="1"/>
    <col min="8" max="8" width="23.81640625" style="1" bestFit="1" customWidth="1"/>
    <col min="9" max="16384" width="37.90625" style="1"/>
  </cols>
  <sheetData>
    <row r="1" spans="1:8" ht="48" customHeight="1" x14ac:dyDescent="0.35">
      <c r="A1" s="291" t="s">
        <v>423</v>
      </c>
      <c r="B1" s="291"/>
      <c r="C1" s="291"/>
      <c r="D1" s="291"/>
      <c r="E1" s="291"/>
      <c r="F1" s="291"/>
      <c r="G1" s="291"/>
      <c r="H1" s="291"/>
    </row>
    <row r="2" spans="1:8" ht="24" customHeight="1" x14ac:dyDescent="0.35">
      <c r="A2" s="292" t="s">
        <v>424</v>
      </c>
      <c r="B2" s="292"/>
      <c r="C2" s="292"/>
      <c r="D2" s="292"/>
      <c r="E2" s="292"/>
      <c r="F2" s="292"/>
      <c r="G2" s="292"/>
      <c r="H2" s="292"/>
    </row>
    <row r="3" spans="1:8" ht="24" customHeight="1" x14ac:dyDescent="0.35">
      <c r="A3" s="293" t="s">
        <v>868</v>
      </c>
      <c r="B3" s="293"/>
      <c r="C3" s="293"/>
      <c r="D3" s="293"/>
      <c r="E3" s="293"/>
      <c r="F3" s="293"/>
      <c r="G3" s="293"/>
      <c r="H3" s="293"/>
    </row>
    <row r="4" spans="1:8" ht="40" customHeight="1" x14ac:dyDescent="0.35">
      <c r="A4" s="311" t="s">
        <v>425</v>
      </c>
      <c r="B4" s="311"/>
      <c r="C4" s="311"/>
      <c r="D4" s="311"/>
      <c r="E4" s="311"/>
      <c r="F4" s="311"/>
      <c r="G4" s="311"/>
      <c r="H4" s="311"/>
    </row>
    <row r="5" spans="1:8" ht="20" customHeight="1" x14ac:dyDescent="0.35">
      <c r="A5" s="12"/>
      <c r="B5" s="12"/>
      <c r="C5" s="12"/>
      <c r="D5" s="12"/>
      <c r="E5" s="12"/>
      <c r="F5" s="12"/>
      <c r="G5" s="12"/>
      <c r="H5" s="12"/>
    </row>
    <row r="6" spans="1:8" ht="24" customHeight="1" x14ac:dyDescent="0.35">
      <c r="A6" s="294" t="s">
        <v>426</v>
      </c>
      <c r="B6" s="294"/>
      <c r="C6" s="294"/>
      <c r="D6" s="294"/>
      <c r="E6" s="294"/>
      <c r="F6" s="294"/>
      <c r="G6" s="294"/>
      <c r="H6" s="294"/>
    </row>
    <row r="7" spans="1:8" ht="20" customHeight="1" x14ac:dyDescent="0.35">
      <c r="A7" s="17" t="s">
        <v>146</v>
      </c>
      <c r="B7" s="17" t="s">
        <v>324</v>
      </c>
      <c r="C7" s="17" t="s">
        <v>904</v>
      </c>
      <c r="D7" s="17" t="s">
        <v>1</v>
      </c>
      <c r="E7" s="17" t="s">
        <v>2</v>
      </c>
      <c r="F7" s="17" t="s">
        <v>208</v>
      </c>
      <c r="G7" s="17" t="s">
        <v>869</v>
      </c>
      <c r="H7" s="17" t="s">
        <v>209</v>
      </c>
    </row>
    <row r="8" spans="1:8" ht="20" customHeight="1" x14ac:dyDescent="0.35">
      <c r="A8" s="27" t="s">
        <v>231</v>
      </c>
      <c r="B8" s="176" t="s">
        <v>427</v>
      </c>
      <c r="C8" s="45">
        <f>'📄 INCOME_STATEMENT'!B22/'📄 INCOME_STATEMENT'!B15</f>
        <v>0.65736297600704385</v>
      </c>
      <c r="D8" s="45">
        <f>'📄 INCOME_STATEMENT'!C22/'📄 INCOME_STATEMENT'!C15</f>
        <v>0.67480490037929985</v>
      </c>
      <c r="E8" s="45">
        <f>'📄 INCOME_STATEMENT'!D22/'📄 INCOME_STATEMENT'!D15</f>
        <v>0.61831623354016918</v>
      </c>
      <c r="F8" s="23" t="s">
        <v>236</v>
      </c>
      <c r="G8" s="38" t="s">
        <v>147</v>
      </c>
      <c r="H8" s="179" t="s">
        <v>870</v>
      </c>
    </row>
    <row r="9" spans="1:8" ht="20" customHeight="1" x14ac:dyDescent="0.35">
      <c r="A9" s="28" t="s">
        <v>871</v>
      </c>
      <c r="B9" s="177" t="s">
        <v>872</v>
      </c>
      <c r="C9" s="47">
        <f>C8-66%</f>
        <v>-2.6370239929561778E-3</v>
      </c>
      <c r="D9" s="47">
        <f>D8-66%</f>
        <v>1.4804900379299823E-2</v>
      </c>
      <c r="E9" s="47">
        <f>E8-66%</f>
        <v>-4.1683766459830851E-2</v>
      </c>
      <c r="F9" s="24" t="s">
        <v>236</v>
      </c>
      <c r="G9" s="40" t="s">
        <v>428</v>
      </c>
      <c r="H9" s="57" t="s">
        <v>870</v>
      </c>
    </row>
    <row r="10" spans="1:8" ht="20" customHeight="1" x14ac:dyDescent="0.35">
      <c r="A10" s="28" t="s">
        <v>333</v>
      </c>
      <c r="B10" s="177" t="s">
        <v>334</v>
      </c>
      <c r="C10" s="47" t="s">
        <v>137</v>
      </c>
      <c r="D10" s="47">
        <f>'📄 INCOME_STATEMENT'!C15/'📄 INCOME_STATEMENT'!B15-1</f>
        <v>9.7732775698877727E-3</v>
      </c>
      <c r="E10" s="47">
        <f>'📄 INCOME_STATEMENT'!D15/'📄 INCOME_STATEMENT'!C15-1</f>
        <v>6.4459170772114938E-2</v>
      </c>
      <c r="F10" s="24" t="s">
        <v>3</v>
      </c>
      <c r="G10" s="40" t="s">
        <v>429</v>
      </c>
      <c r="H10" s="57" t="s">
        <v>430</v>
      </c>
    </row>
    <row r="11" spans="1:8" ht="20" customHeight="1" x14ac:dyDescent="0.35">
      <c r="A11" s="28" t="s">
        <v>431</v>
      </c>
      <c r="B11" s="177" t="s">
        <v>432</v>
      </c>
      <c r="C11" s="47" t="s">
        <v>137</v>
      </c>
      <c r="D11" s="47">
        <f>'📄 INCOME_STATEMENT'!C22/'📄 INCOME_STATEMENT'!B22-1</f>
        <v>3.6565764800428502E-2</v>
      </c>
      <c r="E11" s="47">
        <f>'📄 INCOME_STATEMENT'!D22/'📄 INCOME_STATEMENT'!C22-1</f>
        <v>-2.4647887323943629E-2</v>
      </c>
      <c r="F11" s="24" t="s">
        <v>236</v>
      </c>
      <c r="G11" s="40" t="s">
        <v>433</v>
      </c>
      <c r="H11" s="57" t="s">
        <v>434</v>
      </c>
    </row>
    <row r="12" spans="1:8" ht="20" customHeight="1" x14ac:dyDescent="0.35">
      <c r="A12" s="28" t="s">
        <v>148</v>
      </c>
      <c r="B12" s="177" t="s">
        <v>435</v>
      </c>
      <c r="C12" s="246" t="s">
        <v>137</v>
      </c>
      <c r="D12" s="246">
        <f>(D10-D11)*100</f>
        <v>-2.6792487230540729</v>
      </c>
      <c r="E12" s="246">
        <f>(E10-E11)*100</f>
        <v>8.9107058096058562</v>
      </c>
      <c r="F12" s="24" t="s">
        <v>3</v>
      </c>
      <c r="G12" s="40" t="s">
        <v>436</v>
      </c>
      <c r="H12" s="57" t="s">
        <v>253</v>
      </c>
    </row>
    <row r="13" spans="1:8" ht="20" customHeight="1" x14ac:dyDescent="0.35">
      <c r="A13" s="41" t="s">
        <v>437</v>
      </c>
      <c r="B13" s="178" t="s">
        <v>438</v>
      </c>
      <c r="C13" s="48">
        <v>5.57E-2</v>
      </c>
      <c r="D13" s="48">
        <v>4.8300000000000003E-2</v>
      </c>
      <c r="E13" s="48">
        <v>4.3700000000000003E-2</v>
      </c>
      <c r="F13" s="43" t="s">
        <v>241</v>
      </c>
      <c r="G13" s="44" t="s">
        <v>439</v>
      </c>
      <c r="H13" s="56" t="s">
        <v>440</v>
      </c>
    </row>
    <row r="14" spans="1:8" ht="20" customHeight="1" x14ac:dyDescent="0.35">
      <c r="A14" s="12"/>
      <c r="B14" s="12"/>
      <c r="C14" s="12"/>
      <c r="D14" s="12"/>
      <c r="E14" s="12"/>
      <c r="F14" s="12"/>
      <c r="G14" s="12"/>
      <c r="H14" s="12"/>
    </row>
    <row r="15" spans="1:8" ht="20" customHeight="1" x14ac:dyDescent="0.35">
      <c r="A15" s="12"/>
      <c r="B15" s="12"/>
      <c r="C15" s="12"/>
      <c r="D15" s="12"/>
      <c r="E15" s="12"/>
      <c r="F15" s="12"/>
      <c r="G15" s="12"/>
      <c r="H15" s="12"/>
    </row>
    <row r="16" spans="1:8" ht="24" customHeight="1" x14ac:dyDescent="0.35">
      <c r="A16" s="294" t="s">
        <v>873</v>
      </c>
      <c r="B16" s="294"/>
      <c r="C16" s="294"/>
      <c r="D16" s="294"/>
      <c r="E16" s="294"/>
      <c r="F16" s="294"/>
      <c r="G16" s="294"/>
      <c r="H16" s="294"/>
    </row>
    <row r="17" spans="1:8" ht="20" customHeight="1" x14ac:dyDescent="0.35">
      <c r="A17" s="17" t="s">
        <v>441</v>
      </c>
      <c r="B17" s="17" t="s">
        <v>0</v>
      </c>
      <c r="C17" s="17" t="s">
        <v>1</v>
      </c>
      <c r="D17" s="17" t="s">
        <v>2</v>
      </c>
      <c r="E17" s="17" t="s">
        <v>442</v>
      </c>
      <c r="F17" s="17" t="s">
        <v>443</v>
      </c>
      <c r="G17" s="12"/>
      <c r="H17" s="12"/>
    </row>
    <row r="18" spans="1:8" ht="40" customHeight="1" x14ac:dyDescent="0.35">
      <c r="A18" s="25" t="s">
        <v>874</v>
      </c>
      <c r="B18" s="23" t="b">
        <f>C8&lt;66%</f>
        <v>1</v>
      </c>
      <c r="C18" s="23" t="b">
        <f>D8&lt;66%</f>
        <v>0</v>
      </c>
      <c r="D18" s="23" t="b">
        <f>E8&lt;66%</f>
        <v>1</v>
      </c>
      <c r="E18" s="63" t="str">
        <f>IF(D18,"PASS","CHECK")</f>
        <v>PASS</v>
      </c>
      <c r="F18" s="38" t="s">
        <v>875</v>
      </c>
      <c r="G18" s="12"/>
      <c r="H18" s="12"/>
    </row>
    <row r="19" spans="1:8" ht="26" customHeight="1" x14ac:dyDescent="0.35">
      <c r="A19" s="26" t="s">
        <v>444</v>
      </c>
      <c r="B19" s="24" t="str">
        <f>"n/a"</f>
        <v>n/a</v>
      </c>
      <c r="C19" s="24" t="b">
        <f>D12&gt;0</f>
        <v>0</v>
      </c>
      <c r="D19" s="24" t="b">
        <f>E12&gt;0</f>
        <v>1</v>
      </c>
      <c r="E19" s="30" t="str">
        <f>IF(D19,"PASS","CHECK")</f>
        <v>PASS</v>
      </c>
      <c r="F19" s="40" t="s">
        <v>446</v>
      </c>
      <c r="G19" s="12"/>
      <c r="H19" s="12"/>
    </row>
    <row r="20" spans="1:8" ht="41.5" customHeight="1" x14ac:dyDescent="0.35">
      <c r="A20" s="60" t="s">
        <v>445</v>
      </c>
      <c r="B20" s="43" t="str">
        <f>"n/a"</f>
        <v>n/a</v>
      </c>
      <c r="C20" s="43" t="b">
        <f>D10&gt;D11</f>
        <v>0</v>
      </c>
      <c r="D20" s="43" t="b">
        <f>E10&gt;E11</f>
        <v>1</v>
      </c>
      <c r="E20" s="62" t="str">
        <f>IF(D20,"PASS","CHECK")</f>
        <v>PASS</v>
      </c>
      <c r="F20" s="44" t="s">
        <v>447</v>
      </c>
      <c r="G20" s="12"/>
      <c r="H20" s="12"/>
    </row>
    <row r="21" spans="1:8" ht="20" customHeight="1" x14ac:dyDescent="0.35">
      <c r="A21" s="12"/>
      <c r="B21" s="12"/>
      <c r="C21" s="12"/>
      <c r="D21" s="12"/>
      <c r="E21" s="12"/>
      <c r="F21" s="12"/>
      <c r="G21" s="12"/>
      <c r="H21" s="12"/>
    </row>
    <row r="22" spans="1:8" ht="20" customHeight="1" x14ac:dyDescent="0.35">
      <c r="A22" s="12"/>
      <c r="B22" s="12"/>
      <c r="C22" s="12"/>
      <c r="D22" s="12"/>
      <c r="E22" s="12"/>
      <c r="F22" s="12"/>
      <c r="G22" s="12"/>
      <c r="H22" s="12"/>
    </row>
    <row r="23" spans="1:8" ht="24" customHeight="1" x14ac:dyDescent="0.35">
      <c r="A23" s="294" t="s">
        <v>262</v>
      </c>
      <c r="B23" s="294"/>
      <c r="C23" s="294"/>
      <c r="D23" s="294"/>
      <c r="E23" s="294"/>
      <c r="F23" s="294"/>
      <c r="G23" s="294"/>
      <c r="H23" s="294"/>
    </row>
    <row r="24" spans="1:8" ht="25" customHeight="1" x14ac:dyDescent="0.35">
      <c r="A24" s="298" t="s">
        <v>1008</v>
      </c>
      <c r="B24" s="298"/>
      <c r="C24" s="298"/>
      <c r="D24" s="298"/>
      <c r="E24" s="298"/>
      <c r="F24" s="298"/>
      <c r="G24" s="298"/>
      <c r="H24" s="298"/>
    </row>
    <row r="25" spans="1:8" ht="25" customHeight="1" x14ac:dyDescent="0.35">
      <c r="A25" s="298"/>
      <c r="B25" s="298"/>
      <c r="C25" s="298"/>
      <c r="D25" s="298"/>
      <c r="E25" s="298"/>
      <c r="F25" s="298"/>
      <c r="G25" s="298"/>
      <c r="H25" s="298"/>
    </row>
    <row r="26" spans="1:8" ht="25" customHeight="1" x14ac:dyDescent="0.35">
      <c r="A26" s="298"/>
      <c r="B26" s="298"/>
      <c r="C26" s="298"/>
      <c r="D26" s="298"/>
      <c r="E26" s="298"/>
      <c r="F26" s="298"/>
      <c r="G26" s="298"/>
      <c r="H26" s="298"/>
    </row>
    <row r="27" spans="1:8" ht="20" customHeight="1" x14ac:dyDescent="0.35">
      <c r="A27"/>
      <c r="B27"/>
      <c r="C27"/>
      <c r="D27"/>
      <c r="E27"/>
      <c r="F27"/>
      <c r="G27"/>
      <c r="H27"/>
    </row>
    <row r="28" spans="1:8" ht="20" customHeight="1" x14ac:dyDescent="0.35">
      <c r="A28"/>
      <c r="B28"/>
      <c r="C28"/>
      <c r="D28"/>
      <c r="E28"/>
      <c r="F28"/>
      <c r="G28"/>
      <c r="H28"/>
    </row>
    <row r="29" spans="1:8" ht="20" customHeight="1" x14ac:dyDescent="0.35">
      <c r="A29"/>
      <c r="B29"/>
      <c r="C29"/>
      <c r="D29"/>
      <c r="E29"/>
      <c r="F29"/>
      <c r="G29"/>
      <c r="H29"/>
    </row>
    <row r="30" spans="1:8" ht="20" customHeight="1" x14ac:dyDescent="0.35">
      <c r="A30"/>
      <c r="B30"/>
      <c r="C30"/>
      <c r="D30"/>
      <c r="E30"/>
      <c r="F30"/>
      <c r="G30"/>
      <c r="H30"/>
    </row>
  </sheetData>
  <mergeCells count="8">
    <mergeCell ref="A23:H23"/>
    <mergeCell ref="A24:H26"/>
    <mergeCell ref="A1:H1"/>
    <mergeCell ref="A2:H2"/>
    <mergeCell ref="A3:H3"/>
    <mergeCell ref="A4:H4"/>
    <mergeCell ref="A6:H6"/>
    <mergeCell ref="A16:H1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1DDC7-0DB3-4CAB-9425-69450263B8D4}">
  <sheetPr>
    <tabColor rgb="FF8064A2"/>
  </sheetPr>
  <dimension ref="A1:R92"/>
  <sheetViews>
    <sheetView showGridLines="0" topLeftCell="A68" workbookViewId="0">
      <selection activeCell="M44" sqref="M44"/>
    </sheetView>
  </sheetViews>
  <sheetFormatPr defaultRowHeight="14.5" x14ac:dyDescent="0.35"/>
  <cols>
    <col min="1" max="13" width="11.81640625" style="1" customWidth="1"/>
    <col min="14" max="16384" width="8.7265625" style="1"/>
  </cols>
  <sheetData>
    <row r="1" spans="1:18" ht="48" customHeight="1" x14ac:dyDescent="0.35">
      <c r="A1" s="291" t="s">
        <v>448</v>
      </c>
      <c r="B1" s="291"/>
      <c r="C1" s="291"/>
      <c r="D1" s="291"/>
      <c r="E1" s="291"/>
      <c r="F1" s="291"/>
      <c r="G1" s="291"/>
      <c r="H1" s="291"/>
      <c r="I1" s="291"/>
      <c r="J1" s="291"/>
      <c r="K1" s="291"/>
      <c r="L1" s="291"/>
      <c r="M1" s="291"/>
      <c r="N1"/>
      <c r="O1"/>
      <c r="P1"/>
      <c r="Q1"/>
    </row>
    <row r="2" spans="1:18" ht="24" customHeight="1" x14ac:dyDescent="0.35">
      <c r="A2" s="292" t="s">
        <v>1151</v>
      </c>
      <c r="B2" s="292"/>
      <c r="C2" s="292"/>
      <c r="D2" s="292"/>
      <c r="E2" s="292"/>
      <c r="F2" s="292"/>
      <c r="G2" s="292"/>
      <c r="H2" s="292"/>
      <c r="I2" s="292"/>
      <c r="J2" s="292"/>
      <c r="K2" s="292"/>
      <c r="L2" s="292"/>
      <c r="M2" s="292"/>
      <c r="N2"/>
      <c r="O2"/>
      <c r="P2"/>
      <c r="Q2"/>
      <c r="R2" s="2"/>
    </row>
    <row r="3" spans="1:18" ht="24" customHeight="1" x14ac:dyDescent="0.35">
      <c r="A3" s="293" t="s">
        <v>1152</v>
      </c>
      <c r="B3" s="293"/>
      <c r="C3" s="293"/>
      <c r="D3" s="293"/>
      <c r="E3" s="293"/>
      <c r="F3" s="293"/>
      <c r="G3" s="293"/>
      <c r="H3" s="293"/>
      <c r="I3" s="293"/>
      <c r="J3" s="293"/>
      <c r="K3" s="293"/>
      <c r="L3" s="293"/>
      <c r="M3" s="293"/>
      <c r="N3"/>
      <c r="O3"/>
      <c r="P3"/>
      <c r="Q3"/>
    </row>
    <row r="4" spans="1:18" x14ac:dyDescent="0.35">
      <c r="A4" s="12"/>
      <c r="B4" s="12"/>
      <c r="C4" s="12"/>
      <c r="D4" s="12"/>
      <c r="E4" s="12"/>
      <c r="F4" s="12"/>
      <c r="G4" s="12"/>
      <c r="H4" s="12"/>
      <c r="I4" s="12"/>
      <c r="J4" s="12"/>
      <c r="K4" s="12"/>
      <c r="L4" s="12"/>
      <c r="M4" s="12"/>
      <c r="N4"/>
      <c r="O4"/>
      <c r="P4"/>
      <c r="Q4"/>
    </row>
    <row r="5" spans="1:18" ht="24" customHeight="1" x14ac:dyDescent="0.35">
      <c r="A5" s="294" t="s">
        <v>207</v>
      </c>
      <c r="B5" s="294"/>
      <c r="C5" s="294"/>
      <c r="D5" s="294"/>
      <c r="E5" s="294"/>
      <c r="F5" s="294"/>
      <c r="G5" s="294"/>
      <c r="H5" s="294"/>
      <c r="I5" s="294"/>
      <c r="J5" s="294"/>
      <c r="K5" s="294"/>
      <c r="L5" s="294"/>
      <c r="M5" s="294"/>
      <c r="N5"/>
      <c r="O5"/>
      <c r="P5"/>
      <c r="Q5"/>
    </row>
    <row r="6" spans="1:18" ht="25" customHeight="1" x14ac:dyDescent="0.35">
      <c r="A6" s="298" t="s">
        <v>860</v>
      </c>
      <c r="B6" s="298"/>
      <c r="C6" s="298"/>
      <c r="D6" s="298"/>
      <c r="E6" s="298"/>
      <c r="F6" s="298"/>
      <c r="G6" s="298"/>
      <c r="H6" s="298"/>
      <c r="I6" s="298"/>
      <c r="J6" s="298"/>
      <c r="K6" s="298"/>
      <c r="L6" s="298"/>
      <c r="M6" s="298"/>
      <c r="N6"/>
      <c r="O6"/>
      <c r="P6"/>
      <c r="Q6"/>
    </row>
    <row r="7" spans="1:18" ht="25" customHeight="1" x14ac:dyDescent="0.35">
      <c r="A7" s="298"/>
      <c r="B7" s="298"/>
      <c r="C7" s="298"/>
      <c r="D7" s="298"/>
      <c r="E7" s="298"/>
      <c r="F7" s="298"/>
      <c r="G7" s="298"/>
      <c r="H7" s="298"/>
      <c r="I7" s="298"/>
      <c r="J7" s="298"/>
      <c r="K7" s="298"/>
      <c r="L7" s="298"/>
      <c r="M7" s="298"/>
      <c r="N7"/>
      <c r="O7"/>
      <c r="P7"/>
      <c r="Q7"/>
    </row>
    <row r="8" spans="1:18" ht="25" customHeight="1" x14ac:dyDescent="0.35">
      <c r="A8" s="298"/>
      <c r="B8" s="298"/>
      <c r="C8" s="298"/>
      <c r="D8" s="298"/>
      <c r="E8" s="298"/>
      <c r="F8" s="298"/>
      <c r="G8" s="298"/>
      <c r="H8" s="298"/>
      <c r="I8" s="298"/>
      <c r="J8" s="298"/>
      <c r="K8" s="298"/>
      <c r="L8" s="298"/>
      <c r="M8" s="298"/>
      <c r="N8"/>
      <c r="O8"/>
      <c r="P8"/>
      <c r="Q8"/>
    </row>
    <row r="9" spans="1:18" ht="14.5" customHeight="1" x14ac:dyDescent="0.35">
      <c r="A9" s="12"/>
      <c r="B9" s="12"/>
      <c r="C9" s="12"/>
      <c r="D9" s="12"/>
      <c r="E9" s="12"/>
      <c r="F9" s="12"/>
      <c r="G9" s="12"/>
      <c r="H9" s="12"/>
      <c r="I9" s="12"/>
      <c r="J9" s="12"/>
      <c r="K9" s="12"/>
      <c r="L9" s="12"/>
      <c r="M9" s="12"/>
      <c r="N9"/>
      <c r="O9"/>
      <c r="P9"/>
      <c r="Q9"/>
    </row>
    <row r="10" spans="1:18" ht="24" customHeight="1" x14ac:dyDescent="0.35">
      <c r="A10" s="294" t="s">
        <v>449</v>
      </c>
      <c r="B10" s="294"/>
      <c r="C10" s="294"/>
      <c r="D10" s="294"/>
      <c r="E10" s="294"/>
      <c r="F10" s="294"/>
      <c r="G10" s="294"/>
      <c r="H10" s="294"/>
      <c r="I10" s="294"/>
      <c r="J10" s="294"/>
      <c r="K10" s="294"/>
      <c r="L10" s="294"/>
      <c r="M10" s="294"/>
      <c r="N10"/>
      <c r="O10"/>
      <c r="P10"/>
      <c r="Q10"/>
    </row>
    <row r="11" spans="1:18" x14ac:dyDescent="0.35">
      <c r="A11" s="12"/>
      <c r="B11" s="12"/>
      <c r="C11" s="12"/>
      <c r="D11" s="12"/>
      <c r="E11" s="12"/>
      <c r="F11" s="12"/>
      <c r="G11" s="12"/>
      <c r="H11" s="12"/>
      <c r="I11" s="12"/>
      <c r="J11" s="12"/>
      <c r="K11" s="12"/>
      <c r="L11" s="12"/>
      <c r="M11" s="12"/>
      <c r="N11"/>
      <c r="O11"/>
      <c r="P11"/>
      <c r="Q11"/>
    </row>
    <row r="12" spans="1:18" x14ac:dyDescent="0.35">
      <c r="A12" s="12"/>
      <c r="B12" s="12"/>
      <c r="C12" s="12"/>
      <c r="D12" s="12"/>
      <c r="E12" s="12"/>
      <c r="F12" s="12"/>
      <c r="G12" s="12"/>
      <c r="H12" s="12"/>
      <c r="I12" s="12"/>
      <c r="J12" s="12"/>
      <c r="K12" s="12"/>
      <c r="L12" s="12"/>
      <c r="M12" s="12"/>
      <c r="N12"/>
      <c r="O12"/>
      <c r="P12"/>
      <c r="Q12"/>
    </row>
    <row r="13" spans="1:18" x14ac:dyDescent="0.35">
      <c r="A13" s="12"/>
      <c r="B13" s="12"/>
      <c r="C13" s="12"/>
      <c r="D13" s="12"/>
      <c r="E13" s="12"/>
      <c r="F13" s="12"/>
      <c r="G13" s="12"/>
      <c r="H13" s="12"/>
      <c r="I13" s="12"/>
      <c r="J13" s="12"/>
      <c r="K13" s="12"/>
      <c r="L13" s="12"/>
      <c r="M13" s="12"/>
      <c r="N13"/>
      <c r="O13"/>
      <c r="P13"/>
      <c r="Q13"/>
    </row>
    <row r="14" spans="1:18" x14ac:dyDescent="0.35">
      <c r="A14" s="12"/>
      <c r="B14" s="12"/>
      <c r="C14" s="12"/>
      <c r="D14" s="12"/>
      <c r="E14" s="12"/>
      <c r="F14" s="12"/>
      <c r="G14" s="12"/>
      <c r="H14" s="12"/>
      <c r="I14" s="12"/>
      <c r="J14" s="12"/>
      <c r="K14" s="12"/>
      <c r="L14" s="12"/>
      <c r="M14" s="12"/>
      <c r="N14"/>
      <c r="O14"/>
      <c r="P14"/>
      <c r="Q14"/>
    </row>
    <row r="15" spans="1:18" x14ac:dyDescent="0.35">
      <c r="A15" s="12"/>
      <c r="B15" s="12"/>
      <c r="C15" s="12"/>
      <c r="D15" s="12"/>
      <c r="E15" s="12"/>
      <c r="F15" s="12"/>
      <c r="G15" s="12"/>
      <c r="H15" s="12"/>
      <c r="I15" s="12"/>
      <c r="J15" s="12"/>
      <c r="K15" s="12"/>
      <c r="L15" s="12"/>
      <c r="M15" s="12"/>
      <c r="N15"/>
      <c r="O15"/>
      <c r="P15"/>
      <c r="Q15"/>
    </row>
    <row r="16" spans="1:18" x14ac:dyDescent="0.35">
      <c r="A16" s="12"/>
      <c r="B16" s="12"/>
      <c r="C16" s="12"/>
      <c r="D16" s="12"/>
      <c r="E16" s="12"/>
      <c r="F16" s="12"/>
      <c r="G16" s="12"/>
      <c r="H16" s="12"/>
      <c r="I16" s="12"/>
      <c r="J16" s="12"/>
      <c r="K16" s="12"/>
      <c r="L16" s="12"/>
      <c r="M16" s="12"/>
      <c r="N16"/>
      <c r="O16"/>
      <c r="P16"/>
      <c r="Q16"/>
    </row>
    <row r="17" spans="1:17" x14ac:dyDescent="0.35">
      <c r="A17" s="12"/>
      <c r="B17" s="12"/>
      <c r="C17" s="12"/>
      <c r="D17" s="12"/>
      <c r="E17" s="12"/>
      <c r="F17" s="12"/>
      <c r="G17" s="12"/>
      <c r="H17" s="12"/>
      <c r="I17" s="12"/>
      <c r="J17" s="12"/>
      <c r="K17" s="12"/>
      <c r="L17" s="12"/>
      <c r="M17" s="12"/>
      <c r="N17"/>
      <c r="O17"/>
      <c r="P17"/>
      <c r="Q17"/>
    </row>
    <row r="18" spans="1:17" x14ac:dyDescent="0.35">
      <c r="A18" s="12"/>
      <c r="B18" s="12"/>
      <c r="C18" s="12"/>
      <c r="D18" s="12"/>
      <c r="E18" s="12"/>
      <c r="F18" s="12"/>
      <c r="G18" s="12"/>
      <c r="H18" s="12"/>
      <c r="I18" s="12"/>
      <c r="J18" s="12"/>
      <c r="K18" s="12"/>
      <c r="L18" s="12"/>
      <c r="M18" s="12"/>
      <c r="N18"/>
      <c r="O18"/>
      <c r="P18"/>
      <c r="Q18"/>
    </row>
    <row r="19" spans="1:17" x14ac:dyDescent="0.35">
      <c r="A19" s="12"/>
      <c r="B19" s="12"/>
      <c r="C19" s="12"/>
      <c r="D19" s="12"/>
      <c r="E19" s="12"/>
      <c r="F19" s="12"/>
      <c r="G19" s="12"/>
      <c r="H19" s="12"/>
      <c r="I19" s="12"/>
      <c r="J19" s="12"/>
      <c r="K19" s="12"/>
      <c r="L19" s="12"/>
      <c r="M19" s="12"/>
      <c r="N19"/>
      <c r="O19"/>
      <c r="P19"/>
      <c r="Q19"/>
    </row>
    <row r="20" spans="1:17" x14ac:dyDescent="0.35">
      <c r="A20" s="12"/>
      <c r="B20" s="12"/>
      <c r="C20" s="12"/>
      <c r="D20" s="12"/>
      <c r="E20" s="12"/>
      <c r="F20" s="12"/>
      <c r="G20" s="12"/>
      <c r="H20" s="12"/>
      <c r="I20" s="12"/>
      <c r="J20" s="12"/>
      <c r="K20" s="12"/>
      <c r="L20" s="12"/>
      <c r="M20" s="12"/>
      <c r="N20"/>
      <c r="O20"/>
      <c r="P20"/>
      <c r="Q20"/>
    </row>
    <row r="21" spans="1:17" x14ac:dyDescent="0.35">
      <c r="A21" s="12"/>
      <c r="B21" s="12"/>
      <c r="C21" s="12"/>
      <c r="D21" s="12"/>
      <c r="E21" s="12"/>
      <c r="F21" s="12"/>
      <c r="G21" s="12"/>
      <c r="H21" s="12"/>
      <c r="I21" s="12"/>
      <c r="J21" s="12"/>
      <c r="K21" s="12"/>
      <c r="L21" s="12"/>
      <c r="M21" s="12"/>
      <c r="N21"/>
      <c r="O21"/>
      <c r="P21"/>
      <c r="Q21"/>
    </row>
    <row r="22" spans="1:17" x14ac:dyDescent="0.35">
      <c r="A22" s="12"/>
      <c r="B22" s="12"/>
      <c r="C22" s="12"/>
      <c r="D22" s="12"/>
      <c r="E22" s="12"/>
      <c r="F22" s="12"/>
      <c r="G22" s="12"/>
      <c r="H22" s="12"/>
      <c r="I22" s="12"/>
      <c r="J22" s="12"/>
      <c r="K22" s="12"/>
      <c r="L22" s="12"/>
      <c r="M22" s="12"/>
      <c r="N22"/>
      <c r="O22"/>
      <c r="P22"/>
      <c r="Q22"/>
    </row>
    <row r="23" spans="1:17" x14ac:dyDescent="0.35">
      <c r="A23" s="12"/>
      <c r="B23" s="12"/>
      <c r="C23" s="12"/>
      <c r="D23" s="12"/>
      <c r="E23" s="12"/>
      <c r="F23" s="12"/>
      <c r="G23" s="12"/>
      <c r="H23" s="12"/>
      <c r="I23" s="12"/>
      <c r="J23" s="12"/>
      <c r="K23" s="12"/>
      <c r="L23" s="12"/>
      <c r="M23" s="12"/>
      <c r="N23"/>
      <c r="O23"/>
      <c r="P23"/>
      <c r="Q23"/>
    </row>
    <row r="24" spans="1:17" x14ac:dyDescent="0.35">
      <c r="A24" s="12"/>
      <c r="B24" s="12"/>
      <c r="C24" s="12"/>
      <c r="D24" s="12"/>
      <c r="E24" s="12"/>
      <c r="F24" s="12"/>
      <c r="G24" s="12"/>
      <c r="H24" s="12"/>
      <c r="I24" s="12"/>
      <c r="J24" s="12"/>
      <c r="K24" s="12"/>
      <c r="L24" s="12"/>
      <c r="M24" s="12"/>
      <c r="N24"/>
      <c r="O24"/>
      <c r="P24"/>
      <c r="Q24"/>
    </row>
    <row r="25" spans="1:17" x14ac:dyDescent="0.35">
      <c r="A25" s="12"/>
      <c r="B25" s="12"/>
      <c r="C25" s="12"/>
      <c r="D25" s="12"/>
      <c r="E25" s="12"/>
      <c r="F25" s="12"/>
      <c r="G25" s="12"/>
      <c r="H25" s="12"/>
      <c r="I25" s="12"/>
      <c r="J25" s="12"/>
      <c r="K25" s="12"/>
      <c r="L25" s="12"/>
      <c r="M25" s="12"/>
      <c r="N25"/>
      <c r="O25"/>
      <c r="P25"/>
      <c r="Q25"/>
    </row>
    <row r="26" spans="1:17" x14ac:dyDescent="0.35">
      <c r="A26" s="12"/>
      <c r="B26" s="12"/>
      <c r="C26" s="12"/>
      <c r="D26" s="12"/>
      <c r="E26" s="12"/>
      <c r="F26" s="12"/>
      <c r="G26" s="12"/>
      <c r="H26" s="12"/>
      <c r="I26" s="12"/>
      <c r="J26" s="12"/>
      <c r="K26" s="12"/>
      <c r="L26" s="12"/>
      <c r="M26" s="12"/>
      <c r="N26"/>
      <c r="O26"/>
      <c r="P26"/>
      <c r="Q26"/>
    </row>
    <row r="27" spans="1:17" x14ac:dyDescent="0.35">
      <c r="A27" s="12"/>
      <c r="B27" s="12"/>
      <c r="C27" s="12"/>
      <c r="D27" s="12"/>
      <c r="E27" s="12"/>
      <c r="F27" s="12"/>
      <c r="G27" s="12"/>
      <c r="H27" s="12"/>
      <c r="I27" s="12"/>
      <c r="J27" s="12"/>
      <c r="K27" s="12"/>
      <c r="L27" s="12"/>
      <c r="M27" s="12"/>
      <c r="N27"/>
      <c r="O27"/>
      <c r="P27"/>
      <c r="Q27"/>
    </row>
    <row r="28" spans="1:17" x14ac:dyDescent="0.35">
      <c r="A28" s="12"/>
      <c r="B28" s="12"/>
      <c r="C28" s="12"/>
      <c r="D28" s="12"/>
      <c r="E28" s="12"/>
      <c r="F28" s="12"/>
      <c r="G28" s="12"/>
      <c r="H28" s="12"/>
      <c r="I28" s="12"/>
      <c r="J28" s="12"/>
      <c r="K28" s="12"/>
      <c r="L28" s="12"/>
      <c r="M28" s="12"/>
      <c r="N28"/>
      <c r="O28"/>
      <c r="P28"/>
      <c r="Q28"/>
    </row>
    <row r="29" spans="1:17" x14ac:dyDescent="0.35">
      <c r="A29" s="12"/>
      <c r="B29" s="12"/>
      <c r="C29" s="12"/>
      <c r="D29" s="12"/>
      <c r="E29" s="12"/>
      <c r="F29" s="12"/>
      <c r="G29" s="12"/>
      <c r="H29" s="12"/>
      <c r="I29" s="12"/>
      <c r="J29" s="12"/>
      <c r="K29" s="12"/>
      <c r="L29" s="12"/>
      <c r="M29" s="12"/>
      <c r="N29"/>
      <c r="O29"/>
      <c r="P29"/>
      <c r="Q29"/>
    </row>
    <row r="30" spans="1:17" x14ac:dyDescent="0.35">
      <c r="A30" s="12"/>
      <c r="B30" s="12"/>
      <c r="C30" s="12"/>
      <c r="D30" s="12"/>
      <c r="E30" s="12"/>
      <c r="F30" s="12"/>
      <c r="G30" s="12"/>
      <c r="H30" s="12"/>
      <c r="I30" s="12"/>
      <c r="J30" s="12"/>
      <c r="K30" s="12"/>
      <c r="L30" s="12"/>
      <c r="M30" s="12"/>
      <c r="N30"/>
      <c r="O30"/>
      <c r="P30"/>
      <c r="Q30"/>
    </row>
    <row r="31" spans="1:17" x14ac:dyDescent="0.35">
      <c r="A31" s="12"/>
      <c r="B31" s="12"/>
      <c r="C31" s="12"/>
      <c r="D31" s="12"/>
      <c r="E31" s="12"/>
      <c r="F31" s="12"/>
      <c r="G31" s="12"/>
      <c r="H31" s="12"/>
      <c r="I31" s="12"/>
      <c r="J31" s="12"/>
      <c r="K31" s="12"/>
      <c r="L31" s="12"/>
      <c r="M31" s="12"/>
    </row>
    <row r="32" spans="1:17" x14ac:dyDescent="0.35">
      <c r="A32" s="12"/>
      <c r="B32" s="12"/>
      <c r="C32" s="12"/>
      <c r="D32" s="12"/>
      <c r="E32" s="12"/>
      <c r="F32" s="12"/>
      <c r="G32" s="12"/>
      <c r="H32" s="12"/>
      <c r="I32" s="12"/>
      <c r="J32" s="12"/>
      <c r="K32" s="12"/>
      <c r="L32" s="12"/>
      <c r="M32" s="12"/>
    </row>
    <row r="33" spans="1:15" x14ac:dyDescent="0.35">
      <c r="A33" s="12"/>
      <c r="B33" s="12"/>
      <c r="C33" s="12"/>
      <c r="D33" s="12"/>
      <c r="E33" s="12"/>
      <c r="F33" s="12"/>
      <c r="G33" s="12"/>
      <c r="H33" s="12"/>
      <c r="I33" s="12"/>
      <c r="J33" s="12"/>
      <c r="K33" s="12"/>
      <c r="L33" s="12"/>
      <c r="M33" s="12"/>
    </row>
    <row r="34" spans="1:15" x14ac:dyDescent="0.35">
      <c r="A34" s="12"/>
      <c r="B34" s="12"/>
      <c r="C34" s="12"/>
      <c r="D34" s="12"/>
      <c r="E34" s="12"/>
      <c r="F34" s="12"/>
      <c r="G34" s="12"/>
      <c r="H34" s="12"/>
      <c r="I34" s="12"/>
      <c r="J34" s="12"/>
      <c r="K34" s="12"/>
      <c r="L34" s="12"/>
      <c r="M34" s="12"/>
    </row>
    <row r="35" spans="1:15" ht="31.5" customHeight="1" x14ac:dyDescent="0.35">
      <c r="A35" s="12"/>
      <c r="B35" s="12"/>
      <c r="C35" s="12"/>
      <c r="D35" s="12"/>
      <c r="E35" s="12"/>
      <c r="F35" s="12"/>
      <c r="G35" s="12"/>
      <c r="H35" s="12"/>
      <c r="I35" s="12"/>
      <c r="J35" s="12"/>
      <c r="K35" s="12"/>
      <c r="L35" s="12"/>
      <c r="M35" s="12"/>
    </row>
    <row r="36" spans="1:15" ht="30.5" customHeight="1" x14ac:dyDescent="0.35">
      <c r="A36" s="12"/>
      <c r="B36" s="12"/>
      <c r="C36" s="12"/>
      <c r="D36" s="12"/>
      <c r="E36" s="12"/>
      <c r="F36" s="12"/>
      <c r="G36" s="12"/>
      <c r="H36" s="12"/>
      <c r="I36" s="12"/>
      <c r="J36" s="12"/>
      <c r="K36" s="12"/>
      <c r="L36" s="12"/>
      <c r="M36" s="12"/>
    </row>
    <row r="37" spans="1:15" x14ac:dyDescent="0.35">
      <c r="A37" s="12"/>
      <c r="B37" s="12"/>
      <c r="C37" s="12"/>
      <c r="D37" s="12"/>
      <c r="E37" s="12"/>
      <c r="F37" s="12"/>
      <c r="G37" s="12"/>
      <c r="H37" s="12"/>
      <c r="I37" s="12"/>
      <c r="J37" s="12"/>
      <c r="K37" s="12"/>
      <c r="L37" s="12"/>
      <c r="M37" s="12"/>
    </row>
    <row r="38" spans="1:15" x14ac:dyDescent="0.35">
      <c r="A38" s="12"/>
      <c r="B38" s="12"/>
      <c r="C38" s="12"/>
      <c r="D38" s="12"/>
      <c r="E38" s="12"/>
      <c r="F38" s="12"/>
      <c r="G38" s="12"/>
      <c r="H38" s="12"/>
      <c r="I38" s="12"/>
      <c r="J38" s="12"/>
      <c r="K38" s="12"/>
      <c r="L38" s="12"/>
      <c r="M38" s="12"/>
    </row>
    <row r="39" spans="1:15" x14ac:dyDescent="0.35">
      <c r="A39" s="12"/>
      <c r="B39" s="12"/>
      <c r="C39" s="12"/>
      <c r="D39" s="12"/>
      <c r="E39" s="12"/>
      <c r="F39" s="12"/>
      <c r="G39" s="12"/>
      <c r="H39" s="12"/>
      <c r="I39" s="12"/>
      <c r="J39" s="12"/>
      <c r="K39" s="12"/>
      <c r="L39" s="12"/>
      <c r="M39" s="12"/>
    </row>
    <row r="40" spans="1:15" x14ac:dyDescent="0.35">
      <c r="A40" s="12"/>
      <c r="B40" s="12"/>
      <c r="C40" s="12"/>
      <c r="D40" s="12"/>
      <c r="E40" s="12"/>
      <c r="F40" s="12"/>
      <c r="G40" s="12"/>
      <c r="H40" s="12"/>
      <c r="I40" s="12"/>
      <c r="J40" s="12"/>
      <c r="K40" s="12"/>
      <c r="L40" s="12"/>
      <c r="M40" s="12"/>
    </row>
    <row r="41" spans="1:15" x14ac:dyDescent="0.35">
      <c r="A41" s="12"/>
      <c r="B41" s="12"/>
      <c r="C41" s="12"/>
      <c r="D41" s="12"/>
      <c r="E41" s="12"/>
      <c r="F41" s="12"/>
      <c r="G41" s="12"/>
      <c r="H41" s="12"/>
      <c r="I41" s="12"/>
      <c r="J41" s="12"/>
      <c r="K41" s="12"/>
      <c r="L41" s="12"/>
      <c r="M41" s="12"/>
    </row>
    <row r="42" spans="1:15" x14ac:dyDescent="0.35">
      <c r="A42" s="12"/>
      <c r="B42" s="12"/>
      <c r="C42" s="12"/>
      <c r="D42" s="12"/>
      <c r="E42" s="12"/>
      <c r="F42" s="12"/>
      <c r="G42" s="12"/>
      <c r="H42" s="12"/>
      <c r="I42" s="12"/>
      <c r="J42" s="12"/>
      <c r="K42" s="12"/>
      <c r="L42" s="12"/>
      <c r="M42" s="12"/>
    </row>
    <row r="43" spans="1:15" x14ac:dyDescent="0.35">
      <c r="A43" s="12"/>
      <c r="B43" s="12"/>
      <c r="C43" s="12"/>
      <c r="D43" s="12"/>
      <c r="E43" s="12"/>
      <c r="F43" s="12"/>
      <c r="G43" s="12"/>
      <c r="H43" s="12"/>
      <c r="I43" s="12"/>
      <c r="J43" s="12"/>
      <c r="K43" s="12"/>
      <c r="L43" s="12"/>
      <c r="M43" s="12"/>
    </row>
    <row r="44" spans="1:15" x14ac:dyDescent="0.35">
      <c r="A44" s="12"/>
      <c r="B44" s="12"/>
      <c r="C44" s="12"/>
      <c r="D44" s="12"/>
      <c r="E44" s="12"/>
      <c r="F44" s="12"/>
      <c r="G44" s="12"/>
      <c r="H44" s="12"/>
      <c r="I44" s="12"/>
      <c r="J44" s="12"/>
      <c r="K44" s="12"/>
      <c r="L44" s="12"/>
      <c r="M44" s="12"/>
    </row>
    <row r="45" spans="1:15" x14ac:dyDescent="0.35">
      <c r="A45" s="12"/>
      <c r="B45" s="12"/>
      <c r="C45" s="12"/>
      <c r="D45" s="12"/>
      <c r="E45" s="12"/>
      <c r="F45" s="12"/>
      <c r="G45" s="12"/>
      <c r="H45" s="12"/>
      <c r="I45" s="12"/>
      <c r="J45" s="12"/>
      <c r="K45" s="12"/>
      <c r="L45" s="12"/>
      <c r="M45" s="12"/>
    </row>
    <row r="46" spans="1:15" x14ac:dyDescent="0.35">
      <c r="A46" s="12"/>
      <c r="B46" s="12"/>
      <c r="C46" s="12"/>
      <c r="D46" s="12"/>
      <c r="E46" s="12"/>
      <c r="F46" s="12"/>
      <c r="G46" s="12"/>
      <c r="H46" s="12"/>
      <c r="I46" s="12"/>
      <c r="J46" s="12"/>
      <c r="K46" s="12"/>
      <c r="L46" s="12"/>
      <c r="M46" s="12"/>
    </row>
    <row r="47" spans="1:15" x14ac:dyDescent="0.35">
      <c r="A47" s="12"/>
      <c r="B47" s="12"/>
      <c r="C47" s="12"/>
      <c r="D47" s="12"/>
      <c r="E47" s="12"/>
      <c r="F47" s="12"/>
      <c r="G47" s="12"/>
      <c r="H47" s="12"/>
      <c r="I47" s="12"/>
      <c r="J47" s="12"/>
      <c r="K47" s="12"/>
      <c r="L47" s="12"/>
      <c r="M47" s="12"/>
      <c r="N47" s="3"/>
      <c r="O47" s="3"/>
    </row>
    <row r="48" spans="1:15" ht="16" x14ac:dyDescent="0.35">
      <c r="A48" s="12"/>
      <c r="B48" s="12"/>
      <c r="C48" s="12"/>
      <c r="D48" s="12"/>
      <c r="E48" s="12"/>
      <c r="F48" s="12"/>
      <c r="G48" s="12"/>
      <c r="H48" s="294"/>
      <c r="I48" s="294"/>
      <c r="J48" s="294"/>
      <c r="K48" s="294"/>
      <c r="L48" s="294"/>
      <c r="M48" s="294"/>
      <c r="N48" s="9"/>
      <c r="O48" s="9"/>
    </row>
    <row r="49" spans="1:15" ht="28" customHeight="1" x14ac:dyDescent="0.35">
      <c r="A49" s="12"/>
      <c r="B49" s="12"/>
      <c r="C49" s="12"/>
      <c r="D49" s="12"/>
      <c r="E49" s="12"/>
      <c r="F49" s="12"/>
      <c r="G49" s="12"/>
      <c r="H49" s="298"/>
      <c r="I49" s="298"/>
      <c r="J49" s="298"/>
      <c r="K49" s="298"/>
      <c r="L49" s="298"/>
      <c r="M49" s="298"/>
      <c r="N49" s="3"/>
      <c r="O49" s="3"/>
    </row>
    <row r="50" spans="1:15" x14ac:dyDescent="0.35">
      <c r="A50" s="12"/>
      <c r="B50" s="12"/>
      <c r="C50" s="12"/>
      <c r="D50" s="12"/>
      <c r="E50" s="12"/>
      <c r="F50" s="12"/>
      <c r="G50" s="12"/>
      <c r="H50" s="12"/>
      <c r="I50" s="12"/>
      <c r="J50" s="12"/>
      <c r="K50" s="12"/>
      <c r="L50" s="12"/>
      <c r="M50" s="12"/>
    </row>
    <row r="51" spans="1:15" ht="28" customHeight="1" x14ac:dyDescent="0.35">
      <c r="A51" s="12"/>
      <c r="B51" s="12"/>
      <c r="C51" s="12"/>
      <c r="D51" s="12"/>
      <c r="E51" s="12"/>
      <c r="F51" s="12"/>
      <c r="G51" s="12"/>
      <c r="H51" s="298"/>
      <c r="I51" s="298"/>
      <c r="J51" s="298"/>
      <c r="K51" s="298"/>
      <c r="L51" s="298"/>
      <c r="M51" s="298"/>
    </row>
    <row r="52" spans="1:15" x14ac:dyDescent="0.35">
      <c r="A52" s="12"/>
      <c r="B52" s="12"/>
      <c r="C52" s="12"/>
      <c r="D52" s="12"/>
      <c r="E52" s="12"/>
      <c r="F52" s="12"/>
      <c r="G52" s="12"/>
      <c r="H52" s="12"/>
      <c r="I52" s="12"/>
      <c r="J52" s="12"/>
      <c r="K52" s="12"/>
      <c r="L52" s="12"/>
      <c r="M52" s="12"/>
    </row>
    <row r="53" spans="1:15" ht="28" customHeight="1" x14ac:dyDescent="0.35">
      <c r="A53" s="12"/>
      <c r="B53" s="12"/>
      <c r="C53" s="12"/>
      <c r="D53" s="12"/>
      <c r="E53" s="12"/>
      <c r="F53" s="12"/>
      <c r="G53" s="12"/>
      <c r="H53" s="298"/>
      <c r="I53" s="298"/>
      <c r="J53" s="298"/>
      <c r="K53" s="298"/>
      <c r="L53" s="298"/>
      <c r="M53" s="298"/>
    </row>
    <row r="54" spans="1:15" ht="30.5" customHeight="1" x14ac:dyDescent="0.35">
      <c r="A54" s="12"/>
      <c r="B54" s="12"/>
      <c r="C54" s="12"/>
      <c r="D54" s="12"/>
      <c r="E54" s="12"/>
      <c r="F54" s="12"/>
      <c r="G54" s="12"/>
      <c r="H54" s="37"/>
      <c r="I54" s="37"/>
      <c r="J54" s="37"/>
      <c r="K54" s="37"/>
      <c r="L54" s="37"/>
      <c r="M54" s="37"/>
    </row>
    <row r="55" spans="1:15" ht="28" customHeight="1" x14ac:dyDescent="0.35">
      <c r="A55" s="12"/>
      <c r="B55" s="12"/>
      <c r="C55" s="12"/>
      <c r="D55" s="12"/>
      <c r="E55" s="12"/>
      <c r="F55" s="12"/>
      <c r="G55" s="12"/>
      <c r="H55" s="298"/>
      <c r="I55" s="298"/>
      <c r="J55" s="298"/>
      <c r="K55" s="298"/>
      <c r="L55" s="298"/>
      <c r="M55" s="298"/>
    </row>
    <row r="56" spans="1:15" x14ac:dyDescent="0.35">
      <c r="A56" s="12"/>
      <c r="B56" s="12"/>
      <c r="C56" s="12"/>
      <c r="D56" s="12"/>
      <c r="E56" s="12"/>
      <c r="F56" s="12"/>
      <c r="G56" s="12"/>
      <c r="H56" s="12"/>
      <c r="I56" s="12"/>
      <c r="J56" s="12"/>
      <c r="K56" s="12"/>
      <c r="L56" s="12"/>
      <c r="M56" s="12"/>
    </row>
    <row r="57" spans="1:15" ht="28" customHeight="1" x14ac:dyDescent="0.35">
      <c r="A57" s="12"/>
      <c r="B57" s="12"/>
      <c r="C57" s="12"/>
      <c r="D57" s="12"/>
      <c r="E57" s="12"/>
      <c r="F57" s="12"/>
      <c r="G57" s="12"/>
      <c r="H57" s="298"/>
      <c r="I57" s="298"/>
      <c r="J57" s="298"/>
      <c r="K57" s="298"/>
      <c r="L57" s="298"/>
      <c r="M57" s="298"/>
    </row>
    <row r="58" spans="1:15" x14ac:dyDescent="0.35">
      <c r="A58" s="12"/>
      <c r="B58" s="12"/>
      <c r="C58" s="12"/>
      <c r="D58" s="12"/>
      <c r="E58" s="12"/>
      <c r="F58" s="12"/>
      <c r="G58" s="12"/>
      <c r="H58" s="12"/>
      <c r="I58" s="12"/>
      <c r="J58" s="12"/>
      <c r="K58" s="12"/>
      <c r="L58" s="12"/>
      <c r="M58" s="12"/>
    </row>
    <row r="59" spans="1:15" x14ac:dyDescent="0.35">
      <c r="A59" s="12"/>
      <c r="B59" s="12"/>
      <c r="C59" s="12"/>
      <c r="D59" s="12"/>
      <c r="E59" s="12"/>
      <c r="F59" s="12"/>
      <c r="G59" s="12"/>
      <c r="H59" s="12"/>
      <c r="I59" s="12"/>
      <c r="J59" s="12"/>
      <c r="K59" s="12"/>
      <c r="L59" s="12"/>
      <c r="M59" s="12"/>
    </row>
    <row r="60" spans="1:15" x14ac:dyDescent="0.35">
      <c r="A60" s="12"/>
      <c r="B60" s="12"/>
      <c r="C60" s="12"/>
      <c r="D60" s="12"/>
      <c r="E60" s="12"/>
      <c r="F60" s="12"/>
      <c r="G60" s="12"/>
      <c r="H60" s="12"/>
      <c r="I60" s="12"/>
      <c r="J60" s="12"/>
      <c r="K60" s="12"/>
      <c r="L60" s="12"/>
      <c r="M60" s="12"/>
    </row>
    <row r="61" spans="1:15" x14ac:dyDescent="0.35">
      <c r="A61" s="12"/>
      <c r="B61" s="12"/>
      <c r="C61" s="12"/>
      <c r="D61" s="12"/>
      <c r="E61" s="12"/>
      <c r="F61" s="12"/>
      <c r="G61" s="12"/>
      <c r="H61" s="12"/>
      <c r="I61" s="12"/>
      <c r="J61" s="12"/>
      <c r="K61" s="12"/>
      <c r="L61" s="12"/>
      <c r="M61" s="12"/>
    </row>
    <row r="62" spans="1:15" x14ac:dyDescent="0.35">
      <c r="A62"/>
      <c r="B62"/>
      <c r="C62"/>
      <c r="D62"/>
      <c r="E62"/>
      <c r="F62"/>
      <c r="G62"/>
      <c r="H62"/>
      <c r="I62"/>
      <c r="J62"/>
      <c r="K62"/>
      <c r="L62"/>
      <c r="M62"/>
    </row>
    <row r="63" spans="1:15" x14ac:dyDescent="0.35">
      <c r="A63"/>
      <c r="B63"/>
      <c r="C63"/>
      <c r="D63"/>
      <c r="E63"/>
      <c r="F63"/>
      <c r="G63"/>
      <c r="H63"/>
      <c r="I63"/>
      <c r="J63"/>
      <c r="K63"/>
      <c r="L63"/>
      <c r="M63"/>
    </row>
    <row r="64" spans="1:15" x14ac:dyDescent="0.35">
      <c r="A64"/>
      <c r="B64"/>
      <c r="C64"/>
      <c r="D64"/>
      <c r="E64"/>
      <c r="F64"/>
      <c r="G64"/>
      <c r="H64"/>
      <c r="I64"/>
      <c r="J64"/>
      <c r="K64"/>
      <c r="L64"/>
      <c r="M64"/>
      <c r="N64" s="3"/>
      <c r="O64" s="3"/>
    </row>
    <row r="65" spans="1:15" x14ac:dyDescent="0.35">
      <c r="A65"/>
      <c r="B65"/>
      <c r="C65"/>
      <c r="D65"/>
      <c r="E65"/>
      <c r="F65"/>
      <c r="G65"/>
      <c r="H65"/>
      <c r="I65"/>
      <c r="J65"/>
      <c r="K65"/>
      <c r="L65"/>
      <c r="M65"/>
      <c r="N65" s="9"/>
      <c r="O65" s="9"/>
    </row>
    <row r="66" spans="1:15" x14ac:dyDescent="0.35">
      <c r="A66"/>
      <c r="B66"/>
      <c r="C66"/>
      <c r="D66"/>
      <c r="E66"/>
      <c r="F66"/>
      <c r="G66"/>
      <c r="H66"/>
      <c r="I66"/>
      <c r="J66"/>
      <c r="K66"/>
      <c r="L66"/>
      <c r="M66"/>
      <c r="N66" s="3"/>
      <c r="O66" s="3"/>
    </row>
    <row r="67" spans="1:15" x14ac:dyDescent="0.35">
      <c r="A67"/>
      <c r="B67"/>
      <c r="C67"/>
      <c r="D67"/>
      <c r="E67"/>
      <c r="F67"/>
      <c r="G67"/>
      <c r="H67"/>
      <c r="I67"/>
      <c r="J67"/>
      <c r="K67"/>
      <c r="L67"/>
      <c r="M67"/>
    </row>
    <row r="68" spans="1:15" ht="24" customHeight="1" x14ac:dyDescent="0.35">
      <c r="A68" s="294" t="s">
        <v>254</v>
      </c>
      <c r="B68" s="294"/>
      <c r="C68" s="294"/>
      <c r="D68" s="294"/>
      <c r="E68" s="294"/>
      <c r="F68" s="294"/>
      <c r="G68" s="294"/>
      <c r="H68" s="294"/>
      <c r="I68" s="294"/>
      <c r="J68" s="294"/>
      <c r="K68" s="294"/>
      <c r="L68" s="294"/>
      <c r="M68" s="294"/>
    </row>
    <row r="69" spans="1:15" x14ac:dyDescent="0.35">
      <c r="A69"/>
      <c r="B69"/>
      <c r="C69"/>
      <c r="D69"/>
      <c r="E69"/>
      <c r="F69"/>
      <c r="G69"/>
      <c r="H69"/>
      <c r="I69"/>
      <c r="J69"/>
      <c r="K69"/>
      <c r="L69"/>
      <c r="M69"/>
    </row>
    <row r="70" spans="1:15" ht="30" customHeight="1" x14ac:dyDescent="0.35">
      <c r="A70" s="370" t="s">
        <v>1153</v>
      </c>
      <c r="B70" s="370"/>
      <c r="C70" s="370"/>
      <c r="D70" s="370"/>
      <c r="E70" s="370"/>
      <c r="F70" s="370"/>
      <c r="G70" s="370"/>
      <c r="H70" s="370"/>
      <c r="I70" s="370"/>
      <c r="J70" s="370"/>
      <c r="K70" s="370"/>
      <c r="L70" s="370"/>
      <c r="M70" s="370"/>
    </row>
    <row r="71" spans="1:15" ht="30" customHeight="1" x14ac:dyDescent="0.35">
      <c r="A71" s="370" t="s">
        <v>1154</v>
      </c>
      <c r="B71" s="370"/>
      <c r="C71" s="370"/>
      <c r="D71" s="370"/>
      <c r="E71" s="370"/>
      <c r="F71" s="370"/>
      <c r="G71" s="370"/>
      <c r="H71" s="370"/>
      <c r="I71" s="370"/>
      <c r="J71" s="370"/>
      <c r="K71" s="370"/>
      <c r="L71" s="370"/>
      <c r="M71" s="370"/>
    </row>
    <row r="72" spans="1:15" ht="30" customHeight="1" x14ac:dyDescent="0.35">
      <c r="A72" s="369" t="s">
        <v>1155</v>
      </c>
      <c r="B72" s="369"/>
      <c r="C72" s="369"/>
      <c r="D72" s="369"/>
      <c r="E72" s="369"/>
      <c r="F72" s="369"/>
      <c r="G72" s="369"/>
      <c r="H72" s="369"/>
      <c r="I72" s="369"/>
      <c r="J72" s="369"/>
      <c r="K72" s="369"/>
      <c r="L72" s="369"/>
      <c r="M72" s="369"/>
    </row>
    <row r="73" spans="1:15" ht="30" customHeight="1" x14ac:dyDescent="0.35">
      <c r="A73" s="369" t="s">
        <v>1156</v>
      </c>
      <c r="B73" s="369"/>
      <c r="C73" s="369"/>
      <c r="D73" s="369"/>
      <c r="E73" s="369"/>
      <c r="F73" s="369"/>
      <c r="G73" s="369"/>
      <c r="H73" s="369"/>
      <c r="I73" s="369"/>
      <c r="J73" s="369"/>
      <c r="K73" s="369"/>
      <c r="L73" s="369"/>
      <c r="M73" s="369"/>
    </row>
    <row r="74" spans="1:15" ht="30" customHeight="1" x14ac:dyDescent="0.35">
      <c r="A74" s="369" t="s">
        <v>1157</v>
      </c>
      <c r="B74" s="369"/>
      <c r="C74" s="369"/>
      <c r="D74" s="369"/>
      <c r="E74" s="369"/>
      <c r="F74" s="369"/>
      <c r="G74" s="369"/>
      <c r="H74" s="369"/>
      <c r="I74" s="369"/>
      <c r="J74" s="369"/>
      <c r="K74" s="369"/>
      <c r="L74" s="369"/>
      <c r="M74" s="369"/>
    </row>
    <row r="75" spans="1:15" x14ac:dyDescent="0.35">
      <c r="A75"/>
      <c r="B75"/>
      <c r="C75"/>
      <c r="D75"/>
      <c r="E75"/>
      <c r="F75"/>
      <c r="G75"/>
      <c r="H75"/>
      <c r="I75"/>
      <c r="J75"/>
      <c r="K75"/>
      <c r="L75"/>
      <c r="M75"/>
    </row>
    <row r="76" spans="1:15" x14ac:dyDescent="0.35">
      <c r="A76"/>
      <c r="B76"/>
      <c r="C76"/>
      <c r="D76"/>
      <c r="E76"/>
      <c r="F76"/>
      <c r="G76"/>
      <c r="H76"/>
      <c r="I76"/>
      <c r="J76"/>
      <c r="K76"/>
      <c r="L76"/>
      <c r="M76"/>
    </row>
    <row r="77" spans="1:15" x14ac:dyDescent="0.35">
      <c r="A77"/>
      <c r="B77"/>
      <c r="C77"/>
      <c r="D77"/>
      <c r="E77"/>
      <c r="F77"/>
      <c r="G77"/>
      <c r="H77"/>
      <c r="I77"/>
      <c r="J77"/>
      <c r="K77"/>
      <c r="L77"/>
      <c r="M77"/>
    </row>
    <row r="78" spans="1:15" x14ac:dyDescent="0.35">
      <c r="A78"/>
      <c r="B78"/>
      <c r="C78"/>
      <c r="D78"/>
      <c r="E78"/>
      <c r="F78"/>
      <c r="G78"/>
      <c r="H78"/>
      <c r="I78"/>
      <c r="J78"/>
      <c r="K78"/>
      <c r="L78"/>
      <c r="M78"/>
    </row>
    <row r="79" spans="1:15" x14ac:dyDescent="0.35">
      <c r="A79"/>
      <c r="B79"/>
      <c r="C79"/>
      <c r="D79"/>
      <c r="E79"/>
      <c r="F79"/>
      <c r="G79"/>
      <c r="H79"/>
      <c r="I79"/>
      <c r="J79"/>
      <c r="K79"/>
      <c r="L79"/>
      <c r="M79"/>
    </row>
    <row r="80" spans="1:15" x14ac:dyDescent="0.35">
      <c r="A80"/>
      <c r="B80"/>
      <c r="C80"/>
      <c r="D80"/>
      <c r="E80"/>
      <c r="F80"/>
      <c r="G80"/>
      <c r="H80"/>
      <c r="I80"/>
      <c r="J80"/>
      <c r="K80"/>
      <c r="L80"/>
      <c r="M80"/>
    </row>
    <row r="81" spans="1:15" x14ac:dyDescent="0.35">
      <c r="A81"/>
      <c r="B81"/>
      <c r="C81"/>
      <c r="D81"/>
      <c r="E81"/>
      <c r="F81"/>
      <c r="G81"/>
      <c r="H81"/>
      <c r="I81"/>
      <c r="J81"/>
      <c r="K81"/>
      <c r="L81"/>
      <c r="M81"/>
    </row>
    <row r="82" spans="1:15" x14ac:dyDescent="0.35">
      <c r="A82"/>
      <c r="B82"/>
      <c r="C82"/>
      <c r="D82"/>
      <c r="E82"/>
      <c r="F82"/>
      <c r="G82"/>
      <c r="H82"/>
      <c r="I82"/>
      <c r="J82"/>
      <c r="K82"/>
      <c r="L82"/>
      <c r="M82"/>
    </row>
    <row r="83" spans="1:15" x14ac:dyDescent="0.35">
      <c r="A83"/>
      <c r="B83"/>
      <c r="C83"/>
      <c r="D83"/>
      <c r="E83"/>
      <c r="F83"/>
      <c r="G83"/>
      <c r="H83"/>
      <c r="I83"/>
      <c r="J83"/>
      <c r="K83"/>
      <c r="L83"/>
      <c r="M83"/>
    </row>
    <row r="84" spans="1:15" x14ac:dyDescent="0.35">
      <c r="A84"/>
      <c r="B84"/>
      <c r="C84"/>
      <c r="D84"/>
      <c r="E84"/>
      <c r="F84"/>
      <c r="G84"/>
      <c r="H84"/>
      <c r="I84"/>
      <c r="J84"/>
      <c r="K84"/>
      <c r="L84"/>
      <c r="M84"/>
      <c r="N84" s="3"/>
      <c r="O84" s="3"/>
    </row>
    <row r="85" spans="1:15" x14ac:dyDescent="0.35">
      <c r="A85"/>
      <c r="B85"/>
      <c r="C85"/>
      <c r="D85"/>
      <c r="E85"/>
      <c r="F85"/>
      <c r="G85"/>
      <c r="H85"/>
      <c r="I85"/>
      <c r="J85"/>
      <c r="K85"/>
      <c r="L85"/>
      <c r="M85"/>
      <c r="N85" s="9"/>
      <c r="O85" s="9"/>
    </row>
    <row r="86" spans="1:15" x14ac:dyDescent="0.35">
      <c r="A86"/>
      <c r="B86"/>
      <c r="C86"/>
      <c r="D86"/>
      <c r="E86"/>
      <c r="F86"/>
      <c r="G86"/>
      <c r="H86"/>
      <c r="I86"/>
      <c r="J86"/>
      <c r="K86"/>
      <c r="L86"/>
      <c r="M86"/>
      <c r="N86" s="3"/>
      <c r="O86" s="3"/>
    </row>
    <row r="87" spans="1:15" x14ac:dyDescent="0.35">
      <c r="A87"/>
      <c r="B87"/>
      <c r="C87"/>
      <c r="D87"/>
      <c r="E87"/>
      <c r="F87"/>
      <c r="G87"/>
      <c r="H87"/>
      <c r="I87"/>
      <c r="J87"/>
      <c r="K87"/>
      <c r="L87"/>
      <c r="M87"/>
    </row>
    <row r="88" spans="1:15" x14ac:dyDescent="0.35">
      <c r="A88"/>
      <c r="B88"/>
      <c r="C88"/>
      <c r="D88"/>
      <c r="E88"/>
      <c r="F88"/>
      <c r="G88"/>
      <c r="H88"/>
      <c r="I88"/>
      <c r="J88"/>
      <c r="K88"/>
      <c r="L88"/>
      <c r="M88"/>
    </row>
    <row r="89" spans="1:15" x14ac:dyDescent="0.35">
      <c r="A89"/>
      <c r="B89"/>
      <c r="C89"/>
      <c r="D89"/>
      <c r="E89"/>
      <c r="F89"/>
      <c r="G89"/>
      <c r="H89"/>
      <c r="I89"/>
      <c r="J89"/>
      <c r="K89"/>
      <c r="L89"/>
      <c r="M89"/>
    </row>
    <row r="90" spans="1:15" x14ac:dyDescent="0.35">
      <c r="A90"/>
      <c r="B90"/>
      <c r="C90"/>
      <c r="D90"/>
      <c r="E90"/>
      <c r="F90"/>
      <c r="G90"/>
      <c r="H90"/>
      <c r="I90"/>
      <c r="J90"/>
      <c r="K90"/>
      <c r="L90"/>
      <c r="M90"/>
    </row>
    <row r="91" spans="1:15" x14ac:dyDescent="0.35">
      <c r="A91"/>
      <c r="B91"/>
      <c r="C91"/>
      <c r="D91"/>
      <c r="E91"/>
      <c r="F91"/>
      <c r="G91"/>
      <c r="H91"/>
      <c r="I91"/>
      <c r="J91"/>
      <c r="K91"/>
      <c r="L91"/>
      <c r="M91"/>
    </row>
    <row r="92" spans="1:15" x14ac:dyDescent="0.35">
      <c r="A92"/>
      <c r="B92"/>
      <c r="C92"/>
      <c r="D92"/>
      <c r="E92"/>
      <c r="F92"/>
      <c r="G92"/>
      <c r="H92"/>
      <c r="I92"/>
      <c r="J92"/>
      <c r="K92"/>
      <c r="L92"/>
      <c r="M92"/>
    </row>
  </sheetData>
  <mergeCells count="18">
    <mergeCell ref="A74:M74"/>
    <mergeCell ref="A68:M68"/>
    <mergeCell ref="A70:M70"/>
    <mergeCell ref="A71:M71"/>
    <mergeCell ref="A72:M72"/>
    <mergeCell ref="A73:M73"/>
    <mergeCell ref="H55:M55"/>
    <mergeCell ref="H57:M57"/>
    <mergeCell ref="A10:M10"/>
    <mergeCell ref="H48:M48"/>
    <mergeCell ref="H49:M49"/>
    <mergeCell ref="H51:M51"/>
    <mergeCell ref="H53:M53"/>
    <mergeCell ref="A1:M1"/>
    <mergeCell ref="A2:M2"/>
    <mergeCell ref="A3:M3"/>
    <mergeCell ref="A5:M5"/>
    <mergeCell ref="A6:M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B732D-54DD-43D6-AB63-FBFF5D2D213F}">
  <sheetPr>
    <tabColor rgb="FF8064A2"/>
  </sheetPr>
  <dimension ref="A1:R79"/>
  <sheetViews>
    <sheetView showGridLines="0" topLeftCell="A60" workbookViewId="0">
      <selection activeCell="J29" sqref="J29"/>
    </sheetView>
  </sheetViews>
  <sheetFormatPr defaultColWidth="32.26953125" defaultRowHeight="20" customHeight="1" x14ac:dyDescent="0.35"/>
  <cols>
    <col min="1" max="1" width="46.90625" style="1" bestFit="1" customWidth="1"/>
    <col min="2" max="2" width="12" style="1" bestFit="1" customWidth="1"/>
    <col min="3" max="3" width="17.1796875" style="1" bestFit="1" customWidth="1"/>
    <col min="4" max="4" width="10.1796875" style="1" bestFit="1" customWidth="1"/>
    <col min="5" max="5" width="31.90625" style="1" bestFit="1" customWidth="1"/>
    <col min="6" max="6" width="13.36328125" style="1" bestFit="1" customWidth="1"/>
    <col min="7" max="10" width="8.1796875" style="1" customWidth="1"/>
    <col min="11" max="13" width="32.26953125" style="1"/>
    <col min="14" max="14" width="18.26953125" style="1" bestFit="1" customWidth="1"/>
    <col min="15" max="15" width="5.81640625" style="1" bestFit="1" customWidth="1"/>
    <col min="16" max="16" width="7.1796875" style="1" bestFit="1" customWidth="1"/>
    <col min="17" max="17" width="7.90625" style="1" bestFit="1" customWidth="1"/>
    <col min="18" max="18" width="5.81640625" style="1" bestFit="1" customWidth="1"/>
    <col min="19" max="16384" width="32.26953125" style="1"/>
  </cols>
  <sheetData>
    <row r="1" spans="1:18" ht="48" customHeight="1" x14ac:dyDescent="0.35">
      <c r="A1" s="291" t="s">
        <v>462</v>
      </c>
      <c r="B1" s="291"/>
      <c r="C1" s="291"/>
      <c r="D1" s="291"/>
      <c r="E1" s="291"/>
      <c r="F1" s="291"/>
      <c r="G1" s="291"/>
      <c r="H1" s="291"/>
      <c r="I1" s="291"/>
      <c r="J1" s="291"/>
      <c r="K1"/>
      <c r="L1"/>
      <c r="M1"/>
      <c r="N1"/>
      <c r="O1"/>
      <c r="P1"/>
      <c r="Q1"/>
      <c r="R1"/>
    </row>
    <row r="2" spans="1:18" ht="20" customHeight="1" x14ac:dyDescent="0.35">
      <c r="A2" s="292" t="s">
        <v>463</v>
      </c>
      <c r="B2" s="292"/>
      <c r="C2" s="292"/>
      <c r="D2" s="292"/>
      <c r="E2" s="292"/>
      <c r="F2" s="292"/>
      <c r="G2" s="292"/>
      <c r="H2" s="292"/>
      <c r="I2" s="292"/>
      <c r="J2" s="292"/>
      <c r="K2"/>
      <c r="L2"/>
      <c r="M2"/>
      <c r="N2"/>
      <c r="O2"/>
      <c r="P2"/>
      <c r="Q2"/>
      <c r="R2"/>
    </row>
    <row r="3" spans="1:18" ht="20" customHeight="1" x14ac:dyDescent="0.35">
      <c r="A3" s="293" t="s">
        <v>464</v>
      </c>
      <c r="B3" s="293"/>
      <c r="C3" s="293"/>
      <c r="D3" s="293"/>
      <c r="E3" s="293"/>
      <c r="F3" s="293"/>
      <c r="G3" s="293"/>
      <c r="H3" s="293"/>
      <c r="I3" s="293"/>
      <c r="J3" s="293"/>
      <c r="K3"/>
      <c r="L3"/>
      <c r="M3"/>
      <c r="N3"/>
      <c r="O3"/>
      <c r="P3"/>
      <c r="Q3"/>
      <c r="R3"/>
    </row>
    <row r="4" spans="1:18" ht="40" customHeight="1" x14ac:dyDescent="0.35">
      <c r="A4" s="311" t="s">
        <v>974</v>
      </c>
      <c r="B4" s="311"/>
      <c r="C4" s="311"/>
      <c r="D4" s="311"/>
      <c r="E4" s="311"/>
      <c r="F4" s="311"/>
      <c r="G4" s="311"/>
      <c r="H4" s="311"/>
      <c r="I4" s="311"/>
      <c r="J4" s="311"/>
      <c r="K4"/>
      <c r="L4"/>
      <c r="M4"/>
      <c r="N4"/>
      <c r="O4"/>
      <c r="P4"/>
      <c r="Q4"/>
      <c r="R4"/>
    </row>
    <row r="5" spans="1:18" ht="20" customHeight="1" x14ac:dyDescent="0.35">
      <c r="A5" s="12"/>
      <c r="B5" s="12"/>
      <c r="C5" s="12"/>
      <c r="D5" s="12"/>
      <c r="E5" s="12"/>
      <c r="F5" s="12"/>
      <c r="G5" s="12"/>
      <c r="H5" s="12"/>
      <c r="I5" s="12"/>
      <c r="J5" s="12"/>
      <c r="K5"/>
      <c r="L5"/>
      <c r="M5"/>
      <c r="N5"/>
      <c r="O5"/>
      <c r="P5"/>
      <c r="Q5"/>
      <c r="R5"/>
    </row>
    <row r="6" spans="1:18" ht="24" customHeight="1" x14ac:dyDescent="0.35">
      <c r="A6" s="294" t="s">
        <v>465</v>
      </c>
      <c r="B6" s="294"/>
      <c r="C6" s="294"/>
      <c r="D6" s="294"/>
      <c r="E6" s="294"/>
      <c r="F6" s="294"/>
      <c r="G6" s="294"/>
      <c r="H6" s="294"/>
      <c r="I6" s="294"/>
      <c r="J6" s="294"/>
      <c r="K6"/>
      <c r="L6"/>
      <c r="M6"/>
      <c r="N6"/>
      <c r="O6"/>
      <c r="P6"/>
      <c r="Q6"/>
      <c r="R6"/>
    </row>
    <row r="7" spans="1:18" ht="20" customHeight="1" x14ac:dyDescent="0.35">
      <c r="A7" s="12"/>
      <c r="B7" s="12"/>
      <c r="C7" s="12"/>
      <c r="D7" s="12"/>
      <c r="E7" s="12"/>
      <c r="F7" s="12"/>
      <c r="G7" s="12"/>
      <c r="H7" s="12"/>
      <c r="I7" s="12"/>
      <c r="J7" s="12"/>
      <c r="K7"/>
      <c r="L7"/>
      <c r="M7"/>
      <c r="N7"/>
      <c r="O7"/>
      <c r="P7"/>
      <c r="Q7"/>
      <c r="R7"/>
    </row>
    <row r="8" spans="1:18" ht="20" customHeight="1" x14ac:dyDescent="0.35">
      <c r="A8" s="12"/>
      <c r="B8" s="12"/>
      <c r="C8" s="12"/>
      <c r="D8" s="12"/>
      <c r="E8" s="12"/>
      <c r="F8" s="12"/>
      <c r="G8" s="12"/>
      <c r="H8" s="12"/>
      <c r="I8" s="12"/>
      <c r="J8" s="12"/>
      <c r="K8"/>
      <c r="L8"/>
      <c r="M8"/>
      <c r="N8"/>
      <c r="O8"/>
      <c r="P8"/>
      <c r="Q8"/>
      <c r="R8"/>
    </row>
    <row r="9" spans="1:18" ht="20" customHeight="1" x14ac:dyDescent="0.35">
      <c r="A9" s="12"/>
      <c r="B9" s="12"/>
      <c r="C9" s="12"/>
      <c r="D9" s="12"/>
      <c r="E9" s="12"/>
      <c r="F9" s="12"/>
      <c r="G9" s="12"/>
      <c r="H9" s="12"/>
      <c r="I9" s="12"/>
      <c r="J9" s="12"/>
      <c r="K9"/>
      <c r="L9"/>
      <c r="M9"/>
      <c r="N9"/>
      <c r="O9"/>
      <c r="P9"/>
      <c r="Q9"/>
      <c r="R9"/>
    </row>
    <row r="10" spans="1:18" ht="20" customHeight="1" x14ac:dyDescent="0.35">
      <c r="A10" s="12"/>
      <c r="B10" s="12"/>
      <c r="C10" s="12"/>
      <c r="D10" s="12"/>
      <c r="E10" s="12"/>
      <c r="F10" s="12"/>
      <c r="G10" s="12"/>
      <c r="H10" s="12"/>
      <c r="I10" s="12"/>
      <c r="J10" s="12"/>
      <c r="K10"/>
      <c r="L10"/>
      <c r="M10"/>
      <c r="N10"/>
      <c r="O10"/>
      <c r="P10"/>
      <c r="Q10"/>
      <c r="R10"/>
    </row>
    <row r="11" spans="1:18" ht="20" customHeight="1" x14ac:dyDescent="0.35">
      <c r="A11" s="12"/>
      <c r="B11" s="12"/>
      <c r="C11" s="12"/>
      <c r="D11" s="12"/>
      <c r="E11" s="12"/>
      <c r="F11" s="12"/>
      <c r="G11" s="12"/>
      <c r="H11" s="12"/>
      <c r="I11" s="12"/>
      <c r="J11" s="12"/>
      <c r="K11"/>
      <c r="L11"/>
      <c r="M11"/>
      <c r="N11"/>
      <c r="O11"/>
      <c r="P11"/>
      <c r="Q11"/>
      <c r="R11"/>
    </row>
    <row r="12" spans="1:18" ht="20" customHeight="1" x14ac:dyDescent="0.35">
      <c r="A12" s="12"/>
      <c r="B12" s="12"/>
      <c r="C12" s="12"/>
      <c r="D12" s="12"/>
      <c r="E12" s="12"/>
      <c r="F12" s="12"/>
      <c r="G12" s="12"/>
      <c r="H12" s="12"/>
      <c r="I12" s="12"/>
      <c r="J12" s="12"/>
      <c r="K12"/>
      <c r="L12"/>
      <c r="M12"/>
      <c r="N12"/>
      <c r="O12"/>
      <c r="P12"/>
      <c r="Q12"/>
      <c r="R12"/>
    </row>
    <row r="13" spans="1:18" ht="20" customHeight="1" x14ac:dyDescent="0.35">
      <c r="A13" s="12"/>
      <c r="B13" s="12"/>
      <c r="C13" s="12"/>
      <c r="D13" s="12"/>
      <c r="E13" s="12"/>
      <c r="F13" s="12"/>
      <c r="G13" s="12"/>
      <c r="H13" s="12"/>
      <c r="I13" s="12"/>
      <c r="J13" s="12"/>
      <c r="K13"/>
      <c r="L13"/>
      <c r="M13"/>
      <c r="N13"/>
      <c r="O13"/>
      <c r="P13"/>
      <c r="Q13"/>
      <c r="R13"/>
    </row>
    <row r="14" spans="1:18" ht="20" customHeight="1" x14ac:dyDescent="0.35">
      <c r="A14" s="12"/>
      <c r="B14" s="12"/>
      <c r="C14" s="12"/>
      <c r="D14" s="12"/>
      <c r="E14" s="12"/>
      <c r="F14" s="12"/>
      <c r="G14" s="12"/>
      <c r="H14" s="12"/>
      <c r="I14" s="12"/>
      <c r="J14" s="12"/>
      <c r="K14"/>
      <c r="L14"/>
      <c r="M14"/>
      <c r="N14"/>
      <c r="O14"/>
      <c r="P14"/>
      <c r="Q14"/>
      <c r="R14"/>
    </row>
    <row r="15" spans="1:18" ht="20" customHeight="1" x14ac:dyDescent="0.35">
      <c r="A15" s="12"/>
      <c r="B15" s="12"/>
      <c r="C15" s="12"/>
      <c r="D15" s="12"/>
      <c r="E15" s="12"/>
      <c r="F15" s="12"/>
      <c r="G15" s="12"/>
      <c r="H15" s="12"/>
      <c r="I15" s="12"/>
      <c r="J15" s="12"/>
      <c r="K15"/>
      <c r="L15"/>
      <c r="M15"/>
      <c r="N15"/>
      <c r="O15"/>
      <c r="P15"/>
      <c r="Q15"/>
      <c r="R15"/>
    </row>
    <row r="16" spans="1:18" ht="20" customHeight="1" x14ac:dyDescent="0.35">
      <c r="A16" s="12"/>
      <c r="B16" s="12"/>
      <c r="C16" s="12"/>
      <c r="D16" s="12"/>
      <c r="E16" s="12"/>
      <c r="F16" s="12"/>
      <c r="G16" s="12"/>
      <c r="H16" s="12"/>
      <c r="I16" s="12"/>
      <c r="J16" s="12"/>
      <c r="K16"/>
      <c r="L16"/>
      <c r="M16"/>
      <c r="N16"/>
      <c r="O16"/>
      <c r="P16"/>
      <c r="Q16"/>
      <c r="R16"/>
    </row>
    <row r="17" spans="1:18" ht="20" customHeight="1" x14ac:dyDescent="0.35">
      <c r="A17" s="12"/>
      <c r="B17" s="12"/>
      <c r="C17" s="12"/>
      <c r="D17" s="12"/>
      <c r="E17" s="12"/>
      <c r="F17" s="12"/>
      <c r="G17" s="12"/>
      <c r="H17" s="12"/>
      <c r="I17" s="12"/>
      <c r="J17" s="12"/>
      <c r="K17"/>
      <c r="L17"/>
      <c r="M17"/>
      <c r="N17"/>
      <c r="O17"/>
      <c r="P17"/>
      <c r="Q17"/>
      <c r="R17"/>
    </row>
    <row r="18" spans="1:18" ht="20" customHeight="1" x14ac:dyDescent="0.35">
      <c r="A18" s="12"/>
      <c r="B18" s="12"/>
      <c r="C18" s="12"/>
      <c r="D18" s="12"/>
      <c r="E18" s="12"/>
      <c r="F18" s="12"/>
      <c r="G18" s="12"/>
      <c r="H18" s="12"/>
      <c r="I18" s="12"/>
      <c r="J18" s="12"/>
      <c r="K18"/>
      <c r="L18"/>
      <c r="M18"/>
      <c r="N18"/>
      <c r="O18"/>
      <c r="P18"/>
      <c r="Q18"/>
      <c r="R18"/>
    </row>
    <row r="19" spans="1:18" ht="20" customHeight="1" x14ac:dyDescent="0.35">
      <c r="A19" s="12"/>
      <c r="B19" s="12"/>
      <c r="C19" s="12"/>
      <c r="D19" s="12"/>
      <c r="E19" s="12"/>
      <c r="F19" s="12"/>
      <c r="G19" s="12"/>
      <c r="H19" s="12"/>
      <c r="I19" s="12"/>
      <c r="J19" s="12"/>
      <c r="K19"/>
      <c r="L19"/>
      <c r="M19"/>
      <c r="N19"/>
      <c r="O19"/>
      <c r="P19"/>
      <c r="Q19"/>
      <c r="R19"/>
    </row>
    <row r="20" spans="1:18" ht="20" customHeight="1" x14ac:dyDescent="0.35">
      <c r="A20" s="12"/>
      <c r="B20" s="12"/>
      <c r="C20" s="12"/>
      <c r="D20" s="12"/>
      <c r="E20" s="12"/>
      <c r="F20" s="12"/>
      <c r="G20" s="12"/>
      <c r="H20" s="12"/>
      <c r="I20" s="12"/>
      <c r="J20" s="12"/>
      <c r="K20"/>
      <c r="L20"/>
      <c r="M20"/>
      <c r="N20"/>
      <c r="O20"/>
      <c r="P20"/>
      <c r="Q20"/>
      <c r="R20"/>
    </row>
    <row r="21" spans="1:18" ht="20" customHeight="1" x14ac:dyDescent="0.35">
      <c r="A21" s="12"/>
      <c r="B21" s="12"/>
      <c r="C21" s="12"/>
      <c r="D21" s="12"/>
      <c r="E21" s="12"/>
      <c r="F21" s="12"/>
      <c r="G21" s="12"/>
      <c r="H21" s="12"/>
      <c r="I21" s="12"/>
      <c r="J21" s="12"/>
      <c r="K21"/>
      <c r="L21"/>
      <c r="M21"/>
      <c r="N21"/>
      <c r="O21"/>
      <c r="P21"/>
      <c r="Q21"/>
      <c r="R21"/>
    </row>
    <row r="22" spans="1:18" ht="20" customHeight="1" x14ac:dyDescent="0.35">
      <c r="A22" s="12"/>
      <c r="B22" s="12"/>
      <c r="C22" s="12"/>
      <c r="D22" s="12"/>
      <c r="E22" s="12"/>
      <c r="F22" s="12"/>
      <c r="G22" s="12"/>
      <c r="H22" s="12"/>
      <c r="I22" s="12"/>
      <c r="J22" s="12"/>
      <c r="K22"/>
      <c r="L22"/>
      <c r="M22"/>
      <c r="N22"/>
      <c r="O22"/>
      <c r="P22"/>
      <c r="Q22"/>
      <c r="R22"/>
    </row>
    <row r="23" spans="1:18" ht="20" customHeight="1" x14ac:dyDescent="0.35">
      <c r="A23" s="12"/>
      <c r="B23" s="12"/>
      <c r="C23" s="12"/>
      <c r="D23" s="12"/>
      <c r="E23" s="12"/>
      <c r="F23" s="12"/>
      <c r="G23" s="12"/>
      <c r="H23" s="12"/>
      <c r="I23" s="12"/>
      <c r="J23" s="12"/>
      <c r="K23"/>
      <c r="L23"/>
      <c r="M23"/>
      <c r="N23"/>
      <c r="O23"/>
      <c r="P23"/>
      <c r="Q23"/>
      <c r="R23"/>
    </row>
    <row r="24" spans="1:18" ht="20" customHeight="1" x14ac:dyDescent="0.35">
      <c r="A24" s="12"/>
      <c r="B24" s="12"/>
      <c r="C24" s="12"/>
      <c r="D24" s="12"/>
      <c r="E24" s="12"/>
      <c r="F24" s="12"/>
      <c r="G24" s="12"/>
      <c r="H24" s="12"/>
      <c r="I24" s="12"/>
      <c r="J24" s="12"/>
      <c r="K24"/>
      <c r="L24"/>
      <c r="M24"/>
      <c r="N24"/>
      <c r="O24"/>
      <c r="P24"/>
      <c r="Q24"/>
      <c r="R24"/>
    </row>
    <row r="25" spans="1:18" ht="20" customHeight="1" x14ac:dyDescent="0.35">
      <c r="A25" s="12"/>
      <c r="B25" s="12"/>
      <c r="C25" s="12"/>
      <c r="D25" s="12"/>
      <c r="E25" s="12"/>
      <c r="F25" s="12"/>
      <c r="G25" s="12"/>
      <c r="H25" s="12"/>
      <c r="I25" s="12"/>
      <c r="J25" s="12"/>
      <c r="K25"/>
      <c r="L25"/>
      <c r="M25"/>
      <c r="N25"/>
      <c r="O25"/>
      <c r="P25"/>
      <c r="Q25"/>
      <c r="R25"/>
    </row>
    <row r="26" spans="1:18" ht="20" customHeight="1" x14ac:dyDescent="0.35">
      <c r="A26" s="12"/>
      <c r="B26" s="12"/>
      <c r="C26" s="12"/>
      <c r="D26" s="12"/>
      <c r="E26" s="12"/>
      <c r="F26" s="12"/>
      <c r="G26" s="12"/>
      <c r="H26" s="12"/>
      <c r="I26" s="12"/>
      <c r="J26" s="12"/>
      <c r="K26"/>
      <c r="L26"/>
      <c r="M26"/>
      <c r="N26"/>
      <c r="O26"/>
      <c r="P26"/>
      <c r="Q26"/>
      <c r="R26"/>
    </row>
    <row r="27" spans="1:18" ht="20" customHeight="1" x14ac:dyDescent="0.35">
      <c r="A27" s="12"/>
      <c r="B27" s="12"/>
      <c r="C27" s="12"/>
      <c r="D27" s="12"/>
      <c r="E27" s="12"/>
      <c r="F27" s="12"/>
      <c r="G27" s="12"/>
      <c r="H27" s="12"/>
      <c r="I27" s="12"/>
      <c r="J27" s="12"/>
      <c r="K27"/>
      <c r="L27"/>
      <c r="M27"/>
      <c r="N27"/>
      <c r="O27"/>
      <c r="P27"/>
      <c r="Q27"/>
      <c r="R27"/>
    </row>
    <row r="28" spans="1:18" ht="20" customHeight="1" x14ac:dyDescent="0.35">
      <c r="A28" s="12"/>
      <c r="B28" s="12"/>
      <c r="C28" s="12"/>
      <c r="D28" s="12"/>
      <c r="E28" s="12"/>
      <c r="F28" s="12"/>
      <c r="G28" s="12"/>
      <c r="H28" s="12"/>
      <c r="I28" s="12"/>
      <c r="J28" s="12"/>
      <c r="K28"/>
      <c r="L28"/>
      <c r="M28"/>
      <c r="N28"/>
      <c r="O28"/>
      <c r="P28"/>
      <c r="Q28"/>
      <c r="R28"/>
    </row>
    <row r="29" spans="1:18" ht="24" customHeight="1" x14ac:dyDescent="0.35">
      <c r="A29" s="294" t="s">
        <v>466</v>
      </c>
      <c r="B29" s="294"/>
      <c r="C29" s="294"/>
      <c r="D29" s="294"/>
      <c r="E29" s="294"/>
      <c r="F29" s="294"/>
      <c r="G29" s="12"/>
      <c r="H29" s="12"/>
      <c r="I29" s="12"/>
      <c r="J29" s="12"/>
      <c r="K29"/>
      <c r="L29"/>
      <c r="M29"/>
      <c r="N29"/>
      <c r="O29"/>
      <c r="P29"/>
      <c r="Q29"/>
      <c r="R29"/>
    </row>
    <row r="30" spans="1:18" ht="20" customHeight="1" x14ac:dyDescent="0.35">
      <c r="A30" s="17" t="s">
        <v>290</v>
      </c>
      <c r="B30" s="17" t="s">
        <v>291</v>
      </c>
      <c r="C30" s="17" t="s">
        <v>292</v>
      </c>
      <c r="D30" s="17" t="s">
        <v>293</v>
      </c>
      <c r="E30" s="17" t="s">
        <v>467</v>
      </c>
      <c r="F30" s="17" t="s">
        <v>468</v>
      </c>
      <c r="G30" s="12"/>
      <c r="H30" s="12"/>
      <c r="I30" s="12"/>
      <c r="J30" s="12"/>
      <c r="K30"/>
      <c r="L30"/>
      <c r="M30"/>
      <c r="N30"/>
      <c r="O30"/>
      <c r="P30"/>
      <c r="Q30"/>
      <c r="R30"/>
    </row>
    <row r="31" spans="1:18" ht="20" customHeight="1" x14ac:dyDescent="0.35">
      <c r="A31" s="191" t="s">
        <v>960</v>
      </c>
      <c r="B31" s="192">
        <f>'📄 INCOME_STATEMENT'!B44</f>
        <v>9848</v>
      </c>
      <c r="C31" s="192">
        <f>B31</f>
        <v>9848</v>
      </c>
      <c r="D31" s="193" t="s">
        <v>963</v>
      </c>
      <c r="E31" s="194" t="s">
        <v>302</v>
      </c>
      <c r="F31" s="195" t="str">
        <f>IF(OR(D31="Reported",D31="Restated"),"€"&amp;TEXT(B31,"#,##0")&amp;"M",IF(B31&gt;=0,"+€","−€")&amp;TEXT(ABS(B31),"#,##0")&amp;"M")</f>
        <v>€9,848M</v>
      </c>
      <c r="G31" s="12"/>
      <c r="H31" s="12"/>
      <c r="I31" s="12"/>
      <c r="J31" s="12"/>
      <c r="K31"/>
      <c r="L31"/>
      <c r="M31"/>
      <c r="N31"/>
      <c r="O31"/>
      <c r="P31"/>
      <c r="Q31"/>
      <c r="R31"/>
    </row>
    <row r="32" spans="1:18" ht="20" customHeight="1" x14ac:dyDescent="0.35">
      <c r="A32" s="28" t="s">
        <v>168</v>
      </c>
      <c r="B32" s="53">
        <f>'📄 INCOME_STATEMENT'!C10-'📄 INCOME_STATEMENT'!B10</f>
        <v>-1875</v>
      </c>
      <c r="C32" s="53">
        <f>C31+B32</f>
        <v>7973</v>
      </c>
      <c r="D32" s="201" t="str">
        <f>IF(B32&gt;0,"Positive",IF(B32&lt;0,"Negative","Neutral"))</f>
        <v>Negative</v>
      </c>
      <c r="E32" s="40" t="s">
        <v>303</v>
      </c>
      <c r="F32" s="21" t="str">
        <f>IF(OR(D32="Reported",D32="Restated"),"€"&amp;TEXT(B32,"#,##0")&amp;"M",IF(B32&gt;=0,"+€","−€")&amp;TEXT(ABS(B32),"#,##0")&amp;"M")</f>
        <v>−€1,875M</v>
      </c>
      <c r="G32" s="12"/>
      <c r="H32" s="12"/>
      <c r="I32" s="12"/>
      <c r="J32" s="12"/>
      <c r="K32"/>
      <c r="L32"/>
      <c r="M32"/>
      <c r="N32"/>
      <c r="O32"/>
      <c r="P32"/>
      <c r="Q32"/>
      <c r="R32"/>
    </row>
    <row r="33" spans="1:18" ht="20" customHeight="1" x14ac:dyDescent="0.35">
      <c r="A33" s="28" t="s">
        <v>169</v>
      </c>
      <c r="B33" s="53">
        <f>'📄 INCOME_STATEMENT'!C11-'📄 INCOME_STATEMENT'!B11</f>
        <v>-344</v>
      </c>
      <c r="C33" s="53">
        <f>C32+B33</f>
        <v>7629</v>
      </c>
      <c r="D33" s="201" t="str">
        <f>IF(B33&gt;0,"Positive",IF(B33&lt;0,"Negative","Neutral"))</f>
        <v>Negative</v>
      </c>
      <c r="E33" s="40" t="s">
        <v>304</v>
      </c>
      <c r="F33" s="21" t="str">
        <f>IF(OR(D33="Reported",D33="Restated"),"€"&amp;TEXT(B33,"#,##0")&amp;"M",IF(B33&gt;=0,"+€","−€")&amp;TEXT(ABS(B33),"#,##0")&amp;"M")</f>
        <v>−€344M</v>
      </c>
      <c r="G33" s="12"/>
      <c r="H33" s="12"/>
      <c r="I33" s="12"/>
      <c r="J33" s="12"/>
      <c r="K33"/>
      <c r="L33"/>
      <c r="M33"/>
      <c r="N33"/>
      <c r="O33"/>
      <c r="P33"/>
      <c r="Q33"/>
      <c r="R33"/>
    </row>
    <row r="34" spans="1:18" ht="20" customHeight="1" x14ac:dyDescent="0.35">
      <c r="A34" s="28" t="s">
        <v>170</v>
      </c>
      <c r="B34" s="53">
        <f>'📄 INCOME_STATEMENT'!C12-'📄 INCOME_STATEMENT'!B12</f>
        <v>994</v>
      </c>
      <c r="C34" s="53">
        <f>C33+B34</f>
        <v>8623</v>
      </c>
      <c r="D34" s="202" t="str">
        <f>IF(B34&gt;0,"Positive",IF(B34&lt;0,"Negative","Neutral"))</f>
        <v>Positive</v>
      </c>
      <c r="E34" s="40" t="s">
        <v>305</v>
      </c>
      <c r="F34" s="21" t="str">
        <f>IF(OR(D34="Reported",D34="Restated"),"€"&amp;TEXT(B34,"#,##0")&amp;"M",IF(B34&gt;=0,"+€","−€")&amp;TEXT(ABS(B34),"#,##0")&amp;"M")</f>
        <v>+€994M</v>
      </c>
      <c r="G34" s="12"/>
      <c r="H34" s="12"/>
      <c r="I34" s="12"/>
      <c r="J34" s="12"/>
      <c r="K34"/>
      <c r="L34"/>
      <c r="M34"/>
      <c r="N34"/>
      <c r="O34"/>
      <c r="P34"/>
      <c r="Q34"/>
      <c r="R34"/>
    </row>
    <row r="35" spans="1:18" ht="20" customHeight="1" x14ac:dyDescent="0.35">
      <c r="A35" s="28" t="s">
        <v>295</v>
      </c>
      <c r="B35" s="53">
        <f>'📄 INCOME_STATEMENT'!C13-'📄 INCOME_STATEMENT'!B13</f>
        <v>1253</v>
      </c>
      <c r="C35" s="53">
        <f>C34+B35</f>
        <v>9876</v>
      </c>
      <c r="D35" s="202" t="str">
        <f>IF(B35&gt;0,"Positive",IF(B35&lt;0,"Negative","Neutral"))</f>
        <v>Positive</v>
      </c>
      <c r="E35" s="40" t="s">
        <v>306</v>
      </c>
      <c r="F35" s="21" t="str">
        <f>IF(OR(D35="Reported",D35="Restated"),"€"&amp;TEXT(B35,"#,##0")&amp;"M",IF(B35&gt;=0,"+€","−€")&amp;TEXT(ABS(B35),"#,##0")&amp;"M")</f>
        <v>+€1,253M</v>
      </c>
      <c r="G35" s="12"/>
      <c r="H35" s="12"/>
      <c r="I35" s="12"/>
      <c r="J35" s="12"/>
      <c r="K35"/>
      <c r="L35"/>
      <c r="M35"/>
      <c r="N35"/>
      <c r="O35"/>
      <c r="P35"/>
      <c r="Q35"/>
      <c r="R35"/>
    </row>
    <row r="36" spans="1:18" ht="20" customHeight="1" x14ac:dyDescent="0.35">
      <c r="A36" s="28" t="s">
        <v>296</v>
      </c>
      <c r="B36" s="53">
        <f>('📄 INCOME_STATEMENT'!C15-SUM('📄 INCOME_STATEMENT'!C10:C13))-('📄 INCOME_STATEMENT'!B15-SUM('📄 INCOME_STATEMENT'!B10:B13))</f>
        <v>416</v>
      </c>
      <c r="C36" s="53">
        <f>C35+B36</f>
        <v>10292</v>
      </c>
      <c r="D36" s="201" t="str">
        <f>IF(B36&gt;0,"Positive",IF(B36&lt;0,"Negative","Neutral"))</f>
        <v>Positive</v>
      </c>
      <c r="E36" s="40" t="s">
        <v>307</v>
      </c>
      <c r="F36" s="21" t="str">
        <f>IF(OR(D36="Reported",D36="Restated"),"€"&amp;TEXT(B36,"#,##0")&amp;"M",IF(B36&gt;=0,"+€","−€")&amp;TEXT(ABS(B36),"#,##0")&amp;"M")</f>
        <v>+€416M</v>
      </c>
      <c r="G36" s="12"/>
      <c r="H36" s="12"/>
      <c r="I36" s="12"/>
      <c r="J36" s="12"/>
      <c r="K36"/>
      <c r="L36"/>
      <c r="M36"/>
      <c r="N36"/>
      <c r="O36"/>
      <c r="P36"/>
      <c r="Q36"/>
      <c r="R36"/>
    </row>
    <row r="37" spans="1:18" ht="20" customHeight="1" x14ac:dyDescent="0.35">
      <c r="A37" s="28" t="s">
        <v>297</v>
      </c>
      <c r="B37" s="53">
        <f>-('📄 INCOME_STATEMENT'!C22-'📄 INCOME_STATEMENT'!B22)</f>
        <v>-1092</v>
      </c>
      <c r="C37" s="53">
        <f>C36+B37</f>
        <v>9200</v>
      </c>
      <c r="D37" s="201" t="str">
        <f>IF(B37&gt;0,"Positive",IF(B37&lt;0,"Negative","Neutral"))</f>
        <v>Negative</v>
      </c>
      <c r="E37" s="40" t="s">
        <v>969</v>
      </c>
      <c r="F37" s="21" t="str">
        <f>IF(OR(D37="Reported",D37="Restated"),"€"&amp;TEXT(B37,"#,##0")&amp;"M",IF(B37&gt;=0,"+€","−€")&amp;TEXT(ABS(B37),"#,##0")&amp;"M")</f>
        <v>−€1,092M</v>
      </c>
      <c r="G37" s="12"/>
      <c r="H37" s="12"/>
      <c r="I37" s="12"/>
      <c r="J37" s="12"/>
      <c r="K37"/>
      <c r="L37"/>
      <c r="M37"/>
      <c r="N37"/>
      <c r="O37"/>
      <c r="P37"/>
      <c r="Q37"/>
      <c r="R37"/>
    </row>
    <row r="38" spans="1:18" ht="20" customHeight="1" x14ac:dyDescent="0.35">
      <c r="A38" s="28" t="s">
        <v>961</v>
      </c>
      <c r="B38" s="53">
        <f>-('📄 INCOME_STATEMENT'!C27-'📄 INCOME_STATEMENT'!B27)</f>
        <v>96</v>
      </c>
      <c r="C38" s="53">
        <f>C37+B38</f>
        <v>9296</v>
      </c>
      <c r="D38" s="201" t="str">
        <f>IF(B38&gt;0,"Positive",IF(B38&lt;0,"Negative","Neutral"))</f>
        <v>Positive</v>
      </c>
      <c r="E38" s="40" t="s">
        <v>970</v>
      </c>
      <c r="F38" s="21" t="str">
        <f>IF(OR(D38="Reported",D38="Restated"),"€"&amp;TEXT(B38,"#,##0")&amp;"M",IF(B38&gt;=0,"+€","−€")&amp;TEXT(ABS(B38),"#,##0")&amp;"M")</f>
        <v>+€96M</v>
      </c>
      <c r="G38" s="12"/>
      <c r="H38" s="12"/>
      <c r="I38" s="12"/>
      <c r="J38" s="12"/>
      <c r="K38"/>
      <c r="L38"/>
      <c r="M38"/>
      <c r="N38"/>
      <c r="O38"/>
      <c r="P38"/>
      <c r="Q38"/>
      <c r="R38"/>
    </row>
    <row r="39" spans="1:18" ht="20" customHeight="1" x14ac:dyDescent="0.35">
      <c r="A39" s="28" t="s">
        <v>962</v>
      </c>
      <c r="B39" s="53">
        <f>-('📄 INCOME_STATEMENT'!C28-'📄 INCOME_STATEMENT'!B28)</f>
        <v>-775</v>
      </c>
      <c r="C39" s="53">
        <f>C38+B39</f>
        <v>8521</v>
      </c>
      <c r="D39" s="201" t="str">
        <f>IF(B39&gt;0,"Positive",IF(B39&lt;0,"Negative","Neutral"))</f>
        <v>Negative</v>
      </c>
      <c r="E39" s="40" t="s">
        <v>971</v>
      </c>
      <c r="F39" s="21" t="str">
        <f>IF(OR(D39="Reported",D39="Restated"),"€"&amp;TEXT(B39,"#,##0")&amp;"M",IF(B39&gt;=0,"+€","−€")&amp;TEXT(ABS(B39),"#,##0")&amp;"M")</f>
        <v>−€775M</v>
      </c>
      <c r="G39" s="12"/>
      <c r="H39" s="12"/>
      <c r="I39" s="12"/>
      <c r="J39" s="12"/>
      <c r="K39"/>
      <c r="L39"/>
      <c r="M39"/>
      <c r="N39"/>
      <c r="O39"/>
      <c r="P39"/>
      <c r="Q39"/>
      <c r="R39"/>
    </row>
    <row r="40" spans="1:18" ht="20" customHeight="1" x14ac:dyDescent="0.35">
      <c r="A40" s="28" t="s">
        <v>298</v>
      </c>
      <c r="B40" s="53">
        <f>('📄 INCOME_STATEMENT'!C33+'📄 INCOME_STATEMENT'!C34+'📄 INCOME_STATEMENT'!C35)-('📄 INCOME_STATEMENT'!B33+'📄 INCOME_STATEMENT'!B34+'📄 INCOME_STATEMENT'!B35)</f>
        <v>-162</v>
      </c>
      <c r="C40" s="53">
        <f>C39+B40</f>
        <v>8359</v>
      </c>
      <c r="D40" s="202" t="str">
        <f>IF(B40&gt;0,"Positive",IF(B40&lt;0,"Negative","Neutral"))</f>
        <v>Negative</v>
      </c>
      <c r="E40" s="40" t="s">
        <v>298</v>
      </c>
      <c r="F40" s="21" t="str">
        <f>IF(OR(D40="Reported",D40="Restated"),"€"&amp;TEXT(B40,"#,##0")&amp;"M",IF(B40&gt;=0,"+€","−€")&amp;TEXT(ABS(B40),"#,##0")&amp;"M")</f>
        <v>−€162M</v>
      </c>
      <c r="G40" s="12"/>
      <c r="H40" s="12"/>
      <c r="I40" s="12"/>
      <c r="J40" s="12"/>
      <c r="K40"/>
      <c r="L40"/>
      <c r="M40"/>
      <c r="N40"/>
      <c r="O40"/>
      <c r="P40"/>
      <c r="Q40"/>
      <c r="R40"/>
    </row>
    <row r="41" spans="1:18" ht="20" customHeight="1" x14ac:dyDescent="0.35">
      <c r="A41" s="196" t="s">
        <v>299</v>
      </c>
      <c r="B41" s="197">
        <f>-('📄 INCOME_STATEMENT'!C39-'📄 INCOME_STATEMENT'!B39)</f>
        <v>387</v>
      </c>
      <c r="C41" s="197">
        <f>C40+B41</f>
        <v>8746</v>
      </c>
      <c r="D41" s="198" t="str">
        <f>IF(B41&gt;0,"Positive",IF(B41&lt;0,"Negative","Neutral"))</f>
        <v>Positive</v>
      </c>
      <c r="E41" s="199" t="s">
        <v>469</v>
      </c>
      <c r="F41" s="200" t="str">
        <f>IF(OR(D41="Reported",D41="Restated"),"€"&amp;TEXT(B41,"#,##0")&amp;"M",IF(B41&gt;=0,"+€","−€")&amp;TEXT(ABS(B41),"#,##0")&amp;"M")</f>
        <v>+€387M</v>
      </c>
      <c r="G41" s="12"/>
      <c r="H41" s="12"/>
      <c r="I41" s="12"/>
      <c r="J41" s="12"/>
      <c r="K41"/>
      <c r="L41"/>
      <c r="M41"/>
      <c r="N41"/>
      <c r="O41"/>
      <c r="P41"/>
      <c r="Q41"/>
      <c r="R41"/>
    </row>
    <row r="42" spans="1:18" ht="20" customHeight="1" x14ac:dyDescent="0.35">
      <c r="A42" s="34" t="s">
        <v>300</v>
      </c>
      <c r="B42" s="51">
        <f>('📄 INCOME_STATEMENT'!C44-'📄 INCOME_STATEMENT'!B44)-SUM(B32:B41)</f>
        <v>2229</v>
      </c>
      <c r="C42" s="51">
        <f>C41+B42</f>
        <v>10975</v>
      </c>
      <c r="D42" s="36" t="str">
        <f>IF(B42&gt;0,"Positive",IF(B42&lt;0,"Negative","Neutral"))</f>
        <v>Positive</v>
      </c>
      <c r="E42" s="37" t="s">
        <v>310</v>
      </c>
      <c r="F42" s="12" t="str">
        <f>IF(OR(D42="Reported",D42="Restated"),"€"&amp;TEXT(B42,"#,##0")&amp;"M",IF(B42&gt;=0,"+€","−€")&amp;TEXT(ABS(B42),"#,##0")&amp;"M")</f>
        <v>+€2,229M</v>
      </c>
      <c r="G42" s="12"/>
      <c r="H42" s="12"/>
      <c r="I42" s="12"/>
      <c r="J42" s="12"/>
      <c r="K42"/>
      <c r="L42"/>
      <c r="M42"/>
      <c r="N42"/>
      <c r="O42"/>
      <c r="P42"/>
      <c r="Q42"/>
      <c r="R42"/>
    </row>
    <row r="43" spans="1:18" ht="20" customHeight="1" x14ac:dyDescent="0.35">
      <c r="A43" s="34" t="s">
        <v>301</v>
      </c>
      <c r="B43" s="51">
        <f>'📄 INCOME_STATEMENT'!C44</f>
        <v>10975</v>
      </c>
      <c r="C43" s="51">
        <f>B43</f>
        <v>10975</v>
      </c>
      <c r="D43" s="36" t="s">
        <v>964</v>
      </c>
      <c r="E43" s="37" t="s">
        <v>302</v>
      </c>
      <c r="F43" s="12" t="str">
        <f>IF(OR(D43="Reported",D43="Restated"),"€"&amp;TEXT(B43,"#,##0")&amp;"M",IF(B43&gt;=0,"+€","−€")&amp;TEXT(ABS(B43),"#,##0")&amp;"M")</f>
        <v>€10,975M</v>
      </c>
      <c r="G43" s="12"/>
      <c r="H43" s="12"/>
      <c r="I43" s="12"/>
      <c r="J43" s="12"/>
      <c r="K43"/>
      <c r="L43"/>
      <c r="M43"/>
      <c r="N43"/>
      <c r="O43"/>
      <c r="P43"/>
      <c r="Q43"/>
      <c r="R43"/>
    </row>
    <row r="44" spans="1:18" ht="24" customHeight="1" x14ac:dyDescent="0.35">
      <c r="A44" s="315"/>
      <c r="B44" s="308"/>
      <c r="C44" s="308"/>
      <c r="D44" s="312"/>
      <c r="E44" s="313"/>
      <c r="F44" s="294"/>
      <c r="G44" s="12"/>
      <c r="H44" s="12"/>
      <c r="I44" s="12"/>
      <c r="J44" s="12"/>
      <c r="K44"/>
      <c r="L44"/>
      <c r="M44"/>
      <c r="N44"/>
      <c r="O44"/>
      <c r="P44"/>
      <c r="Q44"/>
      <c r="R44"/>
    </row>
    <row r="45" spans="1:18" ht="20" customHeight="1" x14ac:dyDescent="0.35">
      <c r="A45" s="189"/>
      <c r="B45" s="142"/>
      <c r="C45" s="142"/>
      <c r="D45" s="17"/>
      <c r="E45" s="161"/>
      <c r="F45" s="17"/>
      <c r="G45" s="12"/>
      <c r="H45" s="12"/>
      <c r="I45" s="12"/>
      <c r="J45" s="12"/>
      <c r="K45"/>
      <c r="L45"/>
      <c r="M45"/>
      <c r="N45"/>
      <c r="O45"/>
      <c r="P45"/>
      <c r="Q45"/>
      <c r="R45"/>
    </row>
    <row r="46" spans="1:18" ht="20" customHeight="1" x14ac:dyDescent="0.35">
      <c r="A46" s="191" t="s">
        <v>312</v>
      </c>
      <c r="B46" s="192">
        <f>'📄 INCOME_STATEMENT'!C44</f>
        <v>10975</v>
      </c>
      <c r="C46" s="192">
        <f>B46</f>
        <v>10975</v>
      </c>
      <c r="D46" s="193" t="s">
        <v>964</v>
      </c>
      <c r="E46" s="194" t="s">
        <v>302</v>
      </c>
      <c r="F46" s="195" t="str">
        <f>IF(D46="Reported","€"&amp;TEXT(B46,"#,##0")&amp;"M",IF(B46&gt;=0,"+€","−€")&amp;TEXT(ABS(B46),"#,##0")&amp;"M")</f>
        <v>€10,975M</v>
      </c>
      <c r="G46" s="12"/>
      <c r="H46" s="12"/>
      <c r="I46" s="12"/>
      <c r="J46" s="12"/>
      <c r="K46"/>
      <c r="L46"/>
      <c r="M46"/>
      <c r="N46"/>
      <c r="O46"/>
      <c r="P46"/>
      <c r="Q46"/>
      <c r="R46"/>
    </row>
    <row r="47" spans="1:18" ht="20" customHeight="1" x14ac:dyDescent="0.35">
      <c r="A47" s="28" t="s">
        <v>168</v>
      </c>
      <c r="B47" s="53">
        <f>'📄 INCOME_STATEMENT'!D10-'📄 INCOME_STATEMENT'!C10</f>
        <v>466</v>
      </c>
      <c r="C47" s="53">
        <f>C46+B47</f>
        <v>11441</v>
      </c>
      <c r="D47" s="202" t="str">
        <f>IF(B47&gt;0,"Positive",IF(B47&lt;0,"Negative","Neutral"))</f>
        <v>Positive</v>
      </c>
      <c r="E47" s="40" t="s">
        <v>303</v>
      </c>
      <c r="F47" s="21" t="str">
        <f>IF(D47="Reported","€"&amp;TEXT(B47,"#,##0")&amp;"M",IF(B47&gt;=0,"+€","−€")&amp;TEXT(ABS(B47),"#,##0")&amp;"M")</f>
        <v>+€466M</v>
      </c>
      <c r="G47" s="12"/>
      <c r="H47" s="12"/>
      <c r="I47" s="12"/>
      <c r="J47" s="12"/>
      <c r="K47"/>
      <c r="L47"/>
      <c r="M47"/>
      <c r="N47"/>
      <c r="O47"/>
      <c r="P47"/>
      <c r="Q47"/>
      <c r="R47"/>
    </row>
    <row r="48" spans="1:18" ht="20" customHeight="1" x14ac:dyDescent="0.35">
      <c r="A48" s="28" t="s">
        <v>169</v>
      </c>
      <c r="B48" s="53">
        <f>'📄 INCOME_STATEMENT'!D11-'📄 INCOME_STATEMENT'!C11</f>
        <v>880</v>
      </c>
      <c r="C48" s="53">
        <f>C47+B48</f>
        <v>12321</v>
      </c>
      <c r="D48" s="202" t="str">
        <f>IF(B48&gt;0,"Positive",IF(B48&lt;0,"Negative","Neutral"))</f>
        <v>Positive</v>
      </c>
      <c r="E48" s="40" t="s">
        <v>304</v>
      </c>
      <c r="F48" s="21" t="str">
        <f>IF(D48="Reported","€"&amp;TEXT(B48,"#,##0")&amp;"M",IF(B48&gt;=0,"+€","−€")&amp;TEXT(ABS(B48),"#,##0")&amp;"M")</f>
        <v>+€880M</v>
      </c>
      <c r="G48" s="12"/>
      <c r="H48" s="12"/>
      <c r="I48" s="12"/>
      <c r="J48" s="12"/>
      <c r="K48"/>
      <c r="L48"/>
      <c r="M48"/>
      <c r="N48"/>
      <c r="O48"/>
      <c r="P48"/>
      <c r="Q48"/>
      <c r="R48"/>
    </row>
    <row r="49" spans="1:18" ht="20" customHeight="1" x14ac:dyDescent="0.35">
      <c r="A49" s="28" t="s">
        <v>170</v>
      </c>
      <c r="B49" s="53">
        <f>'📄 INCOME_STATEMENT'!D12-'📄 INCOME_STATEMENT'!C12</f>
        <v>1223</v>
      </c>
      <c r="C49" s="53">
        <f>C48+B49</f>
        <v>13544</v>
      </c>
      <c r="D49" s="202" t="str">
        <f>IF(B49&gt;0,"Positive",IF(B49&lt;0,"Negative","Neutral"))</f>
        <v>Positive</v>
      </c>
      <c r="E49" s="40" t="s">
        <v>305</v>
      </c>
      <c r="F49" s="21" t="str">
        <f>IF(D49="Reported","€"&amp;TEXT(B49,"#,##0")&amp;"M",IF(B49&gt;=0,"+€","−€")&amp;TEXT(ABS(B49),"#,##0")&amp;"M")</f>
        <v>+€1,223M</v>
      </c>
      <c r="G49" s="12"/>
      <c r="H49" s="12"/>
      <c r="I49" s="12"/>
      <c r="J49" s="12"/>
      <c r="K49"/>
      <c r="L49"/>
      <c r="M49"/>
      <c r="N49"/>
      <c r="O49"/>
      <c r="P49"/>
      <c r="Q49"/>
      <c r="R49"/>
    </row>
    <row r="50" spans="1:18" ht="20" customHeight="1" x14ac:dyDescent="0.35">
      <c r="A50" s="28" t="s">
        <v>295</v>
      </c>
      <c r="B50" s="53">
        <f>'📄 INCOME_STATEMENT'!D13-'📄 INCOME_STATEMENT'!C13</f>
        <v>142</v>
      </c>
      <c r="C50" s="53">
        <f>C49+B50</f>
        <v>13686</v>
      </c>
      <c r="D50" s="202" t="str">
        <f>IF(B50&gt;0,"Positive",IF(B50&lt;0,"Negative","Neutral"))</f>
        <v>Positive</v>
      </c>
      <c r="E50" s="40" t="s">
        <v>306</v>
      </c>
      <c r="F50" s="21" t="str">
        <f>IF(D50="Reported","€"&amp;TEXT(B50,"#,##0")&amp;"M",IF(B50&gt;=0,"+€","−€")&amp;TEXT(ABS(B50),"#,##0")&amp;"M")</f>
        <v>+€142M</v>
      </c>
      <c r="G50" s="12"/>
      <c r="H50" s="12"/>
      <c r="I50" s="12"/>
      <c r="J50" s="12"/>
      <c r="K50"/>
      <c r="L50"/>
      <c r="M50"/>
      <c r="N50"/>
      <c r="O50"/>
      <c r="P50"/>
      <c r="Q50"/>
      <c r="R50"/>
    </row>
    <row r="51" spans="1:18" ht="20" customHeight="1" x14ac:dyDescent="0.35">
      <c r="A51" s="28" t="s">
        <v>296</v>
      </c>
      <c r="B51" s="53">
        <f>('📄 INCOME_STATEMENT'!D15-SUM('📄 INCOME_STATEMENT'!D10:D13))-('📄 INCOME_STATEMENT'!C15-SUM('📄 INCOME_STATEMENT'!C10:C13))</f>
        <v>246</v>
      </c>
      <c r="C51" s="53">
        <f>C50+B51</f>
        <v>13932</v>
      </c>
      <c r="D51" s="202" t="str">
        <f>IF(B51&gt;0,"Positive",IF(B51&lt;0,"Negative","Neutral"))</f>
        <v>Positive</v>
      </c>
      <c r="E51" s="40" t="s">
        <v>307</v>
      </c>
      <c r="F51" s="21" t="str">
        <f>IF(D51="Reported","€"&amp;TEXT(B51,"#,##0")&amp;"M",IF(B51&gt;=0,"+€","−€")&amp;TEXT(ABS(B51),"#,##0")&amp;"M")</f>
        <v>+€246M</v>
      </c>
      <c r="G51" s="12"/>
      <c r="H51" s="12"/>
      <c r="I51" s="12"/>
      <c r="J51" s="12"/>
      <c r="K51"/>
      <c r="L51"/>
      <c r="M51"/>
      <c r="N51"/>
      <c r="O51"/>
      <c r="P51"/>
      <c r="Q51"/>
      <c r="R51"/>
    </row>
    <row r="52" spans="1:18" ht="20" customHeight="1" x14ac:dyDescent="0.35">
      <c r="A52" s="28" t="s">
        <v>297</v>
      </c>
      <c r="B52" s="53">
        <f>-('📄 INCOME_STATEMENT'!D22-'📄 INCOME_STATEMENT'!C22)</f>
        <v>763</v>
      </c>
      <c r="C52" s="53">
        <f>C51+B52</f>
        <v>14695</v>
      </c>
      <c r="D52" s="202" t="str">
        <f>IF(B52&gt;0,"Positive",IF(B52&lt;0,"Negative","Neutral"))</f>
        <v>Positive</v>
      </c>
      <c r="E52" s="40" t="s">
        <v>969</v>
      </c>
      <c r="F52" s="21" t="str">
        <f>IF(D52="Reported","€"&amp;TEXT(B52,"#,##0")&amp;"M",IF(B52&gt;=0,"+€","−€")&amp;TEXT(ABS(B52),"#,##0")&amp;"M")</f>
        <v>+€763M</v>
      </c>
      <c r="G52" s="12"/>
      <c r="H52" s="12"/>
      <c r="I52" s="12"/>
      <c r="J52" s="12"/>
      <c r="K52"/>
      <c r="L52"/>
      <c r="M52"/>
      <c r="N52"/>
      <c r="O52"/>
      <c r="P52"/>
      <c r="Q52"/>
      <c r="R52"/>
    </row>
    <row r="53" spans="1:18" ht="20" customHeight="1" x14ac:dyDescent="0.35">
      <c r="A53" s="28" t="s">
        <v>961</v>
      </c>
      <c r="B53" s="53">
        <f>-('📄 INCOME_STATEMENT'!D27-'📄 INCOME_STATEMENT'!C27)</f>
        <v>-92</v>
      </c>
      <c r="C53" s="53">
        <f>C52+B53</f>
        <v>14603</v>
      </c>
      <c r="D53" s="202" t="str">
        <f>IF(B53&gt;0,"Positive",IF(B53&lt;0,"Negative","Neutral"))</f>
        <v>Negative</v>
      </c>
      <c r="E53" s="40" t="s">
        <v>970</v>
      </c>
      <c r="F53" s="21" t="str">
        <f>IF(D53="Reported","€"&amp;TEXT(B53,"#,##0")&amp;"M",IF(B53&gt;=0,"+€","−€")&amp;TEXT(ABS(B53),"#,##0")&amp;"M")</f>
        <v>−€92M</v>
      </c>
      <c r="G53" s="12"/>
      <c r="H53" s="12"/>
      <c r="I53" s="12"/>
      <c r="J53" s="12"/>
      <c r="K53"/>
      <c r="L53"/>
      <c r="M53"/>
      <c r="N53"/>
      <c r="O53"/>
      <c r="P53"/>
      <c r="Q53"/>
      <c r="R53"/>
    </row>
    <row r="54" spans="1:18" ht="20" customHeight="1" x14ac:dyDescent="0.35">
      <c r="A54" s="28" t="s">
        <v>962</v>
      </c>
      <c r="B54" s="53">
        <f>-('📄 INCOME_STATEMENT'!D28-'📄 INCOME_STATEMENT'!C28)</f>
        <v>573</v>
      </c>
      <c r="C54" s="53">
        <f>C53+B54</f>
        <v>15176</v>
      </c>
      <c r="D54" s="202" t="str">
        <f>IF(B54&gt;0,"Positive",IF(B54&lt;0,"Negative","Neutral"))</f>
        <v>Positive</v>
      </c>
      <c r="E54" s="40" t="s">
        <v>971</v>
      </c>
      <c r="F54" s="21" t="str">
        <f>IF(D54="Reported","€"&amp;TEXT(B54,"#,##0")&amp;"M",IF(B54&gt;=0,"+€","−€")&amp;TEXT(ABS(B54),"#,##0")&amp;"M")</f>
        <v>+€573M</v>
      </c>
      <c r="G54" s="12"/>
      <c r="H54" s="12"/>
      <c r="I54" s="12"/>
      <c r="J54" s="12"/>
      <c r="K54"/>
      <c r="L54"/>
      <c r="M54"/>
      <c r="N54"/>
      <c r="O54"/>
      <c r="P54"/>
      <c r="Q54"/>
      <c r="R54"/>
    </row>
    <row r="55" spans="1:18" ht="20" customHeight="1" x14ac:dyDescent="0.35">
      <c r="A55" s="28" t="s">
        <v>298</v>
      </c>
      <c r="B55" s="53">
        <f>('📄 INCOME_STATEMENT'!D33+'📄 INCOME_STATEMENT'!D34+'📄 INCOME_STATEMENT'!D35)-('📄 INCOME_STATEMENT'!C33+'📄 INCOME_STATEMENT'!C34+'📄 INCOME_STATEMENT'!C35)</f>
        <v>262</v>
      </c>
      <c r="C55" s="53">
        <f>C54+B55</f>
        <v>15438</v>
      </c>
      <c r="D55" s="201" t="str">
        <f>IF(B55&gt;0,"Positive",IF(B55&lt;0,"Negative","Neutral"))</f>
        <v>Positive</v>
      </c>
      <c r="E55" s="40" t="s">
        <v>298</v>
      </c>
      <c r="F55" s="21" t="str">
        <f>IF(D55="Reported","€"&amp;TEXT(B55,"#,##0")&amp;"M",IF(B55&gt;=0,"+€","−€")&amp;TEXT(ABS(B55),"#,##0")&amp;"M")</f>
        <v>+€262M</v>
      </c>
      <c r="G55" s="12"/>
      <c r="H55" s="12"/>
      <c r="I55" s="12"/>
      <c r="J55" s="12"/>
      <c r="K55"/>
      <c r="L55"/>
      <c r="M55"/>
      <c r="N55"/>
      <c r="O55"/>
      <c r="P55"/>
      <c r="Q55"/>
      <c r="R55"/>
    </row>
    <row r="56" spans="1:18" ht="20" customHeight="1" x14ac:dyDescent="0.35">
      <c r="A56" s="196" t="s">
        <v>299</v>
      </c>
      <c r="B56" s="197">
        <f>-('📄 INCOME_STATEMENT'!D39-'📄 INCOME_STATEMENT'!C39)</f>
        <v>-735</v>
      </c>
      <c r="C56" s="197">
        <f>C55+B56</f>
        <v>14703</v>
      </c>
      <c r="D56" s="198" t="str">
        <f>IF(B56&gt;0,"Positive",IF(B56&lt;0,"Negative","Neutral"))</f>
        <v>Negative</v>
      </c>
      <c r="E56" s="199" t="s">
        <v>469</v>
      </c>
      <c r="F56" s="200" t="str">
        <f>IF(D56="Reported","€"&amp;TEXT(B56,"#,##0")&amp;"M",IF(B56&gt;=0,"+€","−€")&amp;TEXT(ABS(B56),"#,##0")&amp;"M")</f>
        <v>−€735M</v>
      </c>
      <c r="G56" s="12"/>
      <c r="H56" s="12"/>
      <c r="I56" s="12"/>
      <c r="J56" s="12"/>
      <c r="K56"/>
      <c r="L56"/>
      <c r="M56"/>
      <c r="N56"/>
      <c r="O56"/>
      <c r="P56"/>
      <c r="Q56"/>
      <c r="R56"/>
    </row>
    <row r="57" spans="1:18" ht="20" customHeight="1" x14ac:dyDescent="0.35">
      <c r="A57" s="12" t="s">
        <v>300</v>
      </c>
      <c r="B57" s="339">
        <f>('📄 INCOME_STATEMENT'!D44-'📄 INCOME_STATEMENT'!C44)-SUM(B47:B56)</f>
        <v>-3015</v>
      </c>
      <c r="C57" s="339">
        <f>C56+B57</f>
        <v>11688</v>
      </c>
      <c r="D57" s="12" t="str">
        <f>IF(B57&gt;0,"Positive",IF(B57&lt;0,"Negative","Neutral"))</f>
        <v>Negative</v>
      </c>
      <c r="E57" s="12" t="s">
        <v>310</v>
      </c>
      <c r="F57" s="12" t="str">
        <f>IF(D57="Reported","€"&amp;TEXT(B57,"#,##0")&amp;"M",IF(B57&gt;=0,"+€","−€")&amp;TEXT(ABS(B57),"#,##0")&amp;"M")</f>
        <v>−€3,015M</v>
      </c>
      <c r="G57" s="12"/>
      <c r="H57" s="12"/>
      <c r="I57" s="12"/>
      <c r="J57" s="12"/>
      <c r="K57"/>
      <c r="L57"/>
      <c r="M57"/>
      <c r="N57"/>
      <c r="O57"/>
      <c r="P57"/>
      <c r="Q57"/>
      <c r="R57"/>
    </row>
    <row r="58" spans="1:18" ht="20" customHeight="1" x14ac:dyDescent="0.35">
      <c r="A58" s="12" t="s">
        <v>313</v>
      </c>
      <c r="B58" s="339">
        <f>'📄 INCOME_STATEMENT'!D44</f>
        <v>11688</v>
      </c>
      <c r="C58" s="339">
        <f>B58</f>
        <v>11688</v>
      </c>
      <c r="D58" s="12" t="s">
        <v>964</v>
      </c>
      <c r="E58" s="12" t="s">
        <v>302</v>
      </c>
      <c r="F58" s="12" t="str">
        <f>IF(D58="Reported","€"&amp;TEXT(B58,"#,##0")&amp;"M",IF(B58&gt;=0,"+€","−€")&amp;TEXT(ABS(B58),"#,##0")&amp;"M")</f>
        <v>€11,688M</v>
      </c>
      <c r="G58" s="12"/>
      <c r="H58" s="12"/>
      <c r="I58" s="12"/>
      <c r="J58" s="12"/>
      <c r="K58"/>
      <c r="L58"/>
      <c r="M58"/>
      <c r="N58"/>
      <c r="O58"/>
      <c r="P58"/>
      <c r="Q58"/>
      <c r="R58"/>
    </row>
    <row r="59" spans="1:18" ht="24" customHeight="1" x14ac:dyDescent="0.35">
      <c r="A59" s="294"/>
      <c r="B59" s="294"/>
      <c r="C59" s="294"/>
      <c r="D59" s="294"/>
      <c r="E59" s="294"/>
      <c r="F59" s="294"/>
      <c r="G59" s="12"/>
      <c r="H59" s="12"/>
      <c r="I59" s="12"/>
      <c r="J59" s="12"/>
      <c r="K59"/>
      <c r="L59"/>
      <c r="M59"/>
      <c r="N59"/>
      <c r="O59"/>
      <c r="P59"/>
      <c r="Q59"/>
      <c r="R59"/>
    </row>
    <row r="60" spans="1:18" ht="25" customHeight="1" x14ac:dyDescent="0.35">
      <c r="A60" s="17"/>
      <c r="B60" s="17"/>
      <c r="C60" s="17"/>
      <c r="D60" s="161"/>
      <c r="E60" s="17"/>
      <c r="F60" s="17"/>
      <c r="G60" s="12"/>
      <c r="H60" s="12"/>
      <c r="I60" s="12"/>
      <c r="J60" s="12"/>
      <c r="K60"/>
      <c r="L60"/>
      <c r="M60"/>
      <c r="N60"/>
      <c r="O60"/>
      <c r="P60"/>
      <c r="Q60"/>
      <c r="R60"/>
    </row>
    <row r="61" spans="1:18" ht="20" customHeight="1" x14ac:dyDescent="0.35">
      <c r="A61" s="18" t="s">
        <v>972</v>
      </c>
      <c r="B61" s="157">
        <f>C42-B43</f>
        <v>0</v>
      </c>
      <c r="C61" s="157" t="str">
        <f>IF(B61=0,"PASS","CHECK")</f>
        <v>PASS</v>
      </c>
      <c r="D61" s="157"/>
      <c r="E61" s="157"/>
      <c r="F61" s="203"/>
      <c r="G61" s="12"/>
      <c r="H61" s="12"/>
      <c r="I61" s="12"/>
      <c r="J61" s="12"/>
      <c r="K61"/>
      <c r="L61"/>
      <c r="M61"/>
      <c r="N61"/>
      <c r="O61"/>
      <c r="P61"/>
      <c r="Q61"/>
      <c r="R61"/>
    </row>
    <row r="62" spans="1:18" ht="20" customHeight="1" x14ac:dyDescent="0.35">
      <c r="A62" s="19" t="s">
        <v>973</v>
      </c>
      <c r="B62" s="158">
        <f>C57-B58</f>
        <v>0</v>
      </c>
      <c r="C62" s="158" t="str">
        <f>IF(B62=0,"PASS","CHECK")</f>
        <v>PASS</v>
      </c>
      <c r="D62" s="158"/>
      <c r="E62" s="158"/>
      <c r="F62" s="204"/>
      <c r="G62" s="12"/>
      <c r="H62" s="12"/>
      <c r="I62" s="12"/>
      <c r="J62" s="12"/>
      <c r="K62"/>
      <c r="L62"/>
      <c r="M62"/>
      <c r="N62"/>
      <c r="O62"/>
      <c r="P62"/>
      <c r="Q62"/>
      <c r="R62"/>
    </row>
    <row r="63" spans="1:18" ht="20" customHeight="1" x14ac:dyDescent="0.35">
      <c r="A63" s="12"/>
      <c r="B63" s="12"/>
      <c r="C63" s="12"/>
      <c r="D63" s="12"/>
      <c r="E63" s="12"/>
      <c r="F63" s="12"/>
      <c r="G63" s="12"/>
      <c r="H63" s="12"/>
      <c r="I63" s="12"/>
      <c r="J63" s="12"/>
      <c r="K63"/>
      <c r="L63"/>
      <c r="M63"/>
      <c r="N63"/>
      <c r="O63"/>
      <c r="P63"/>
      <c r="Q63"/>
      <c r="R63"/>
    </row>
    <row r="64" spans="1:18" ht="20" customHeight="1" x14ac:dyDescent="0.35">
      <c r="A64"/>
      <c r="B64"/>
      <c r="C64"/>
      <c r="D64"/>
      <c r="E64"/>
      <c r="F64"/>
      <c r="G64"/>
      <c r="H64"/>
      <c r="I64"/>
      <c r="J64"/>
      <c r="K64"/>
      <c r="L64"/>
      <c r="M64"/>
      <c r="N64"/>
      <c r="O64"/>
      <c r="P64"/>
      <c r="Q64"/>
      <c r="R64"/>
    </row>
    <row r="65" spans="1:18" ht="35" customHeight="1" x14ac:dyDescent="0.4">
      <c r="A65" s="340" t="s">
        <v>975</v>
      </c>
      <c r="B65" s="340"/>
      <c r="C65" s="340"/>
      <c r="D65" s="340"/>
      <c r="E65" s="340"/>
      <c r="F65" s="340"/>
      <c r="G65" s="340"/>
      <c r="H65" s="340"/>
      <c r="I65" s="279"/>
      <c r="J65" s="279"/>
      <c r="K65"/>
      <c r="L65"/>
      <c r="M65"/>
      <c r="N65"/>
      <c r="O65"/>
      <c r="P65"/>
      <c r="Q65"/>
      <c r="R65"/>
    </row>
    <row r="66" spans="1:18" ht="20" customHeight="1" x14ac:dyDescent="0.35">
      <c r="A66"/>
      <c r="B66"/>
      <c r="C66"/>
      <c r="D66"/>
      <c r="E66"/>
      <c r="F66"/>
      <c r="G66"/>
      <c r="H66"/>
      <c r="I66"/>
      <c r="J66"/>
      <c r="K66"/>
      <c r="L66"/>
      <c r="M66"/>
      <c r="N66"/>
      <c r="O66"/>
      <c r="P66"/>
      <c r="Q66"/>
      <c r="R66"/>
    </row>
    <row r="67" spans="1:18" ht="20" customHeight="1" x14ac:dyDescent="0.35">
      <c r="A67"/>
      <c r="B67"/>
      <c r="C67"/>
      <c r="D67"/>
      <c r="E67"/>
      <c r="F67"/>
      <c r="G67"/>
      <c r="H67"/>
      <c r="I67"/>
      <c r="J67"/>
      <c r="K67"/>
      <c r="L67"/>
      <c r="M67"/>
      <c r="N67"/>
      <c r="O67"/>
      <c r="P67"/>
      <c r="Q67"/>
      <c r="R67"/>
    </row>
    <row r="68" spans="1:18" ht="20" customHeight="1" x14ac:dyDescent="0.35">
      <c r="A68"/>
      <c r="B68"/>
      <c r="C68"/>
      <c r="D68"/>
      <c r="E68"/>
      <c r="F68"/>
      <c r="G68"/>
      <c r="H68"/>
      <c r="I68"/>
      <c r="J68"/>
      <c r="K68"/>
      <c r="L68"/>
      <c r="M68"/>
      <c r="N68"/>
      <c r="O68"/>
      <c r="P68"/>
      <c r="Q68"/>
      <c r="R68"/>
    </row>
    <row r="69" spans="1:18" ht="20" customHeight="1" x14ac:dyDescent="0.35">
      <c r="A69"/>
      <c r="B69"/>
      <c r="C69"/>
      <c r="D69"/>
      <c r="E69"/>
      <c r="F69"/>
      <c r="G69"/>
      <c r="H69"/>
      <c r="I69"/>
      <c r="J69"/>
      <c r="K69"/>
      <c r="L69"/>
      <c r="M69"/>
      <c r="N69"/>
      <c r="O69"/>
      <c r="P69"/>
      <c r="Q69"/>
      <c r="R69"/>
    </row>
    <row r="70" spans="1:18" ht="20" customHeight="1" x14ac:dyDescent="0.35">
      <c r="A70"/>
      <c r="B70"/>
      <c r="C70"/>
      <c r="D70"/>
      <c r="E70"/>
      <c r="F70"/>
      <c r="G70"/>
      <c r="H70"/>
      <c r="I70"/>
      <c r="J70"/>
      <c r="K70"/>
      <c r="L70"/>
      <c r="M70"/>
      <c r="N70"/>
      <c r="O70"/>
      <c r="P70"/>
      <c r="Q70"/>
      <c r="R70"/>
    </row>
    <row r="71" spans="1:18" ht="20" customHeight="1" x14ac:dyDescent="0.35">
      <c r="A71"/>
      <c r="B71"/>
      <c r="C71"/>
      <c r="D71"/>
      <c r="E71"/>
      <c r="F71"/>
      <c r="G71"/>
      <c r="H71"/>
      <c r="I71"/>
      <c r="J71"/>
      <c r="K71"/>
      <c r="L71"/>
      <c r="M71"/>
      <c r="N71"/>
      <c r="O71"/>
      <c r="P71"/>
      <c r="Q71"/>
      <c r="R71"/>
    </row>
    <row r="72" spans="1:18" ht="20" customHeight="1" x14ac:dyDescent="0.35">
      <c r="A72"/>
      <c r="B72"/>
      <c r="C72"/>
      <c r="D72"/>
      <c r="E72"/>
      <c r="F72"/>
      <c r="G72"/>
      <c r="H72"/>
      <c r="I72"/>
      <c r="J72"/>
      <c r="K72"/>
      <c r="L72"/>
      <c r="M72"/>
      <c r="N72"/>
      <c r="O72"/>
      <c r="P72"/>
      <c r="Q72"/>
      <c r="R72"/>
    </row>
    <row r="73" spans="1:18" ht="20" customHeight="1" x14ac:dyDescent="0.35">
      <c r="A73"/>
      <c r="B73"/>
      <c r="C73"/>
      <c r="D73"/>
      <c r="E73"/>
      <c r="F73"/>
      <c r="G73"/>
      <c r="H73"/>
      <c r="I73"/>
      <c r="J73"/>
      <c r="K73"/>
      <c r="L73"/>
      <c r="M73"/>
      <c r="N73"/>
      <c r="O73"/>
      <c r="P73"/>
      <c r="Q73"/>
      <c r="R73"/>
    </row>
    <row r="74" spans="1:18" ht="20" customHeight="1" x14ac:dyDescent="0.35">
      <c r="A74"/>
      <c r="B74"/>
      <c r="C74"/>
      <c r="D74"/>
      <c r="E74"/>
      <c r="F74"/>
      <c r="G74"/>
      <c r="H74"/>
      <c r="I74"/>
      <c r="J74"/>
      <c r="K74"/>
      <c r="L74"/>
      <c r="M74"/>
      <c r="N74"/>
      <c r="O74"/>
      <c r="P74"/>
      <c r="Q74"/>
      <c r="R74"/>
    </row>
    <row r="75" spans="1:18" ht="20" customHeight="1" x14ac:dyDescent="0.35">
      <c r="A75"/>
      <c r="B75"/>
      <c r="C75"/>
      <c r="D75"/>
      <c r="E75"/>
      <c r="F75"/>
      <c r="G75"/>
      <c r="H75"/>
      <c r="I75"/>
      <c r="J75"/>
      <c r="K75"/>
      <c r="L75"/>
      <c r="M75"/>
      <c r="N75"/>
      <c r="O75"/>
      <c r="P75"/>
      <c r="Q75"/>
      <c r="R75"/>
    </row>
    <row r="76" spans="1:18" ht="20" customHeight="1" x14ac:dyDescent="0.35">
      <c r="A76"/>
      <c r="B76"/>
      <c r="C76"/>
      <c r="D76"/>
      <c r="E76"/>
      <c r="F76"/>
      <c r="G76"/>
      <c r="H76"/>
      <c r="I76"/>
      <c r="J76"/>
      <c r="K76"/>
      <c r="L76"/>
      <c r="M76"/>
      <c r="N76"/>
      <c r="O76"/>
      <c r="P76"/>
      <c r="Q76"/>
      <c r="R76"/>
    </row>
    <row r="77" spans="1:18" ht="20" customHeight="1" x14ac:dyDescent="0.35">
      <c r="A77"/>
      <c r="B77"/>
      <c r="C77"/>
      <c r="D77"/>
      <c r="E77"/>
      <c r="F77"/>
      <c r="G77"/>
      <c r="H77"/>
      <c r="I77"/>
      <c r="J77"/>
      <c r="K77"/>
      <c r="L77"/>
      <c r="M77"/>
      <c r="N77"/>
      <c r="O77"/>
      <c r="P77"/>
      <c r="Q77"/>
      <c r="R77"/>
    </row>
    <row r="78" spans="1:18" ht="20" customHeight="1" x14ac:dyDescent="0.35">
      <c r="A78"/>
      <c r="B78"/>
      <c r="C78"/>
      <c r="D78"/>
      <c r="E78"/>
      <c r="F78"/>
      <c r="G78"/>
      <c r="H78"/>
      <c r="I78"/>
      <c r="J78"/>
      <c r="K78"/>
      <c r="L78"/>
      <c r="M78"/>
      <c r="N78"/>
      <c r="O78"/>
      <c r="P78"/>
      <c r="Q78"/>
      <c r="R78"/>
    </row>
    <row r="79" spans="1:18" ht="20" customHeight="1" x14ac:dyDescent="0.35">
      <c r="A79"/>
      <c r="B79"/>
      <c r="C79"/>
      <c r="D79"/>
      <c r="E79"/>
      <c r="F79"/>
      <c r="G79"/>
      <c r="H79"/>
      <c r="I79"/>
      <c r="J79"/>
      <c r="K79"/>
      <c r="L79"/>
      <c r="M79"/>
      <c r="N79"/>
      <c r="O79"/>
      <c r="P79"/>
      <c r="Q79"/>
      <c r="R79"/>
    </row>
  </sheetData>
  <mergeCells count="9">
    <mergeCell ref="A65:J65"/>
    <mergeCell ref="A4:J4"/>
    <mergeCell ref="A1:J1"/>
    <mergeCell ref="A2:J2"/>
    <mergeCell ref="A3:J3"/>
    <mergeCell ref="A6:J6"/>
    <mergeCell ref="A29:F29"/>
    <mergeCell ref="A44:F44"/>
    <mergeCell ref="A59:F59"/>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C8BB0-C218-4CD1-B1FE-18AF78B8C835}">
  <sheetPr>
    <tabColor rgb="FFA5A5A5"/>
  </sheetPr>
  <dimension ref="A1:N58"/>
  <sheetViews>
    <sheetView showGridLines="0" topLeftCell="F31" workbookViewId="0">
      <selection activeCell="P54" sqref="P54"/>
    </sheetView>
  </sheetViews>
  <sheetFormatPr defaultRowHeight="14.5" x14ac:dyDescent="0.35"/>
  <cols>
    <col min="1" max="1" width="38.1796875" customWidth="1"/>
    <col min="2" max="2" width="20.7265625" customWidth="1"/>
    <col min="3" max="3" width="14.7265625" customWidth="1"/>
    <col min="4" max="4" width="15" customWidth="1"/>
    <col min="5" max="5" width="8.90625" customWidth="1"/>
    <col min="7" max="7" width="44.54296875" customWidth="1"/>
    <col min="8" max="8" width="9.6328125" bestFit="1" customWidth="1"/>
    <col min="9" max="9" width="9.6328125" customWidth="1"/>
    <col min="10" max="10" width="15" bestFit="1" customWidth="1"/>
    <col min="11" max="11" width="9.6328125" bestFit="1" customWidth="1"/>
    <col min="12" max="12" width="8" bestFit="1" customWidth="1"/>
    <col min="13" max="13" width="9.6328125" bestFit="1" customWidth="1"/>
    <col min="14" max="14" width="9.08984375" customWidth="1"/>
  </cols>
  <sheetData>
    <row r="1" spans="1:4" ht="48" customHeight="1" x14ac:dyDescent="0.35">
      <c r="A1" s="291" t="s">
        <v>452</v>
      </c>
      <c r="B1" s="291"/>
      <c r="C1" s="291"/>
      <c r="D1" s="291"/>
    </row>
    <row r="2" spans="1:4" x14ac:dyDescent="0.35">
      <c r="A2" s="292" t="s">
        <v>453</v>
      </c>
      <c r="B2" s="292"/>
      <c r="C2" s="292"/>
      <c r="D2" s="292"/>
    </row>
    <row r="3" spans="1:4" x14ac:dyDescent="0.35">
      <c r="A3" s="293" t="s">
        <v>454</v>
      </c>
      <c r="B3" s="293"/>
      <c r="C3" s="293"/>
      <c r="D3" s="293"/>
    </row>
    <row r="4" spans="1:4" x14ac:dyDescent="0.35">
      <c r="A4" s="12"/>
      <c r="B4" s="12"/>
      <c r="C4" s="12"/>
      <c r="D4" s="12"/>
    </row>
    <row r="5" spans="1:4" ht="16" x14ac:dyDescent="0.35">
      <c r="A5" s="294" t="s">
        <v>455</v>
      </c>
      <c r="B5" s="294"/>
      <c r="C5" s="294"/>
      <c r="D5" s="294"/>
    </row>
    <row r="6" spans="1:4" x14ac:dyDescent="0.35">
      <c r="A6" s="17" t="s">
        <v>456</v>
      </c>
      <c r="B6" s="17" t="s">
        <v>904</v>
      </c>
      <c r="C6" s="17" t="s">
        <v>1</v>
      </c>
      <c r="D6" s="17" t="s">
        <v>2</v>
      </c>
    </row>
    <row r="7" spans="1:4" x14ac:dyDescent="0.35">
      <c r="A7" s="27" t="s">
        <v>214</v>
      </c>
      <c r="B7" s="190">
        <f>'📄 INCOME_STATEMENT'!B15</f>
        <v>45430</v>
      </c>
      <c r="C7" s="190">
        <f>'📄 INCOME_STATEMENT'!C15</f>
        <v>45874</v>
      </c>
      <c r="D7" s="190">
        <f>'📄 INCOME_STATEMENT'!D15</f>
        <v>48831</v>
      </c>
    </row>
    <row r="8" spans="1:4" x14ac:dyDescent="0.35">
      <c r="A8" s="41" t="s">
        <v>219</v>
      </c>
      <c r="B8" s="50">
        <f>'📄 INCOME_STATEMENT'!B44</f>
        <v>9848</v>
      </c>
      <c r="C8" s="50">
        <f>'📄 INCOME_STATEMENT'!C44</f>
        <v>10975</v>
      </c>
      <c r="D8" s="50">
        <f>'📄 INCOME_STATEMENT'!D44</f>
        <v>11688</v>
      </c>
    </row>
    <row r="9" spans="1:4" x14ac:dyDescent="0.35">
      <c r="A9" s="34"/>
      <c r="B9" s="35"/>
      <c r="C9" s="35"/>
      <c r="D9" s="35"/>
    </row>
    <row r="10" spans="1:4" ht="16" x14ac:dyDescent="0.35">
      <c r="A10" s="315" t="s">
        <v>457</v>
      </c>
      <c r="B10" s="307"/>
      <c r="C10" s="307"/>
      <c r="D10" s="307"/>
    </row>
    <row r="11" spans="1:4" x14ac:dyDescent="0.35">
      <c r="A11" s="17" t="s">
        <v>456</v>
      </c>
      <c r="B11" s="64" t="s">
        <v>0</v>
      </c>
      <c r="C11" s="64" t="s">
        <v>1</v>
      </c>
      <c r="D11" s="64" t="s">
        <v>2</v>
      </c>
    </row>
    <row r="12" spans="1:4" x14ac:dyDescent="0.35">
      <c r="A12" s="27" t="s">
        <v>450</v>
      </c>
      <c r="B12" s="45">
        <f>'📈 RATIOS_PROFITABILITY'!C8</f>
        <v>8.2367651794264876E-2</v>
      </c>
      <c r="C12" s="45">
        <f>'📈 RATIOS_PROFITABILITY'!D8</f>
        <v>8.9599516693267586E-2</v>
      </c>
      <c r="D12" s="45">
        <f>'📈 RATIOS_PROFITABILITY'!E8</f>
        <v>9.2806466597056519E-2</v>
      </c>
    </row>
    <row r="13" spans="1:4" x14ac:dyDescent="0.35">
      <c r="A13" s="41" t="s">
        <v>451</v>
      </c>
      <c r="B13" s="48">
        <f>'📈 RATIOS_PROFITABILITY'!C9</f>
        <v>8.9017847861555921E-2</v>
      </c>
      <c r="C13" s="48">
        <f>'📈 RATIOS_PROFITABILITY'!D9</f>
        <v>9.7036303513642549E-2</v>
      </c>
      <c r="D13" s="48">
        <f>'📈 RATIOS_PROFITABILITY'!E9</f>
        <v>0.10065189497343334</v>
      </c>
    </row>
    <row r="14" spans="1:4" x14ac:dyDescent="0.35">
      <c r="A14" s="34"/>
      <c r="B14" s="35"/>
      <c r="C14" s="35"/>
      <c r="D14" s="35"/>
    </row>
    <row r="15" spans="1:4" ht="16" x14ac:dyDescent="0.35">
      <c r="A15" s="315" t="s">
        <v>458</v>
      </c>
      <c r="B15" s="307"/>
      <c r="C15" s="307"/>
      <c r="D15" s="307"/>
    </row>
    <row r="16" spans="1:4" x14ac:dyDescent="0.35">
      <c r="A16" s="17" t="s">
        <v>456</v>
      </c>
      <c r="B16" s="64" t="s">
        <v>0</v>
      </c>
      <c r="C16" s="64" t="s">
        <v>1</v>
      </c>
      <c r="D16" s="64" t="s">
        <v>2</v>
      </c>
    </row>
    <row r="17" spans="1:14" x14ac:dyDescent="0.35">
      <c r="A17" s="27" t="s">
        <v>224</v>
      </c>
      <c r="B17" s="45">
        <f>'📈 RATIOS_CAPITAL'!C8</f>
        <v>0.12330000000000001</v>
      </c>
      <c r="C17" s="45">
        <f>'📈 RATIOS_CAPITAL'!D8</f>
        <v>0.13200000000000001</v>
      </c>
      <c r="D17" s="45">
        <f>'📈 RATIOS_CAPITAL'!E8</f>
        <v>0.12870000000000001</v>
      </c>
    </row>
    <row r="19" spans="1:14" x14ac:dyDescent="0.35">
      <c r="A19" s="34"/>
      <c r="B19" s="35"/>
      <c r="C19" s="35"/>
      <c r="D19" s="35"/>
    </row>
    <row r="20" spans="1:14" ht="16" x14ac:dyDescent="0.35">
      <c r="A20" s="294" t="s">
        <v>459</v>
      </c>
      <c r="B20" s="294"/>
      <c r="C20" s="294"/>
      <c r="D20" s="294"/>
    </row>
    <row r="21" spans="1:14" x14ac:dyDescent="0.35">
      <c r="A21" s="17" t="s">
        <v>456</v>
      </c>
      <c r="B21" s="17" t="s">
        <v>904</v>
      </c>
      <c r="C21" s="17" t="s">
        <v>1</v>
      </c>
      <c r="D21" s="17" t="s">
        <v>2</v>
      </c>
    </row>
    <row r="22" spans="1:14" x14ac:dyDescent="0.35">
      <c r="A22" s="27" t="s">
        <v>151</v>
      </c>
      <c r="B22" s="188">
        <f>'📈 RATIOS_ASSET_QUALITY'!C8</f>
        <v>1.7000000000000001E-2</v>
      </c>
      <c r="C22" s="188">
        <f>'📈 RATIOS_ASSET_QUALITY'!D8</f>
        <v>1.7000000000000001E-2</v>
      </c>
      <c r="D22" s="188">
        <f>'📈 RATIOS_ASSET_QUALITY'!E8</f>
        <v>1.6E-2</v>
      </c>
    </row>
    <row r="23" spans="1:14" x14ac:dyDescent="0.35">
      <c r="A23" s="41" t="s">
        <v>152</v>
      </c>
      <c r="B23" s="371">
        <f>'📈 RATIOS_ASSET_QUALITY'!C11</f>
        <v>31</v>
      </c>
      <c r="C23" s="371">
        <f>'📈 RATIOS_ASSET_QUALITY'!D11</f>
        <v>32</v>
      </c>
      <c r="D23" s="371">
        <f>'📈 RATIOS_ASSET_QUALITY'!E11</f>
        <v>33</v>
      </c>
    </row>
    <row r="24" spans="1:14" x14ac:dyDescent="0.35">
      <c r="A24" s="34" t="s">
        <v>218</v>
      </c>
      <c r="B24" s="319">
        <f>'📄 INCOME_STATEMENT'!B27</f>
        <v>3003</v>
      </c>
      <c r="C24" s="319">
        <f>'📄 INCOME_STATEMENT'!C27</f>
        <v>2907</v>
      </c>
      <c r="D24" s="319">
        <f>'📄 INCOME_STATEMENT'!D27</f>
        <v>2999</v>
      </c>
    </row>
    <row r="25" spans="1:14" ht="16" x14ac:dyDescent="0.35">
      <c r="A25" s="315" t="s">
        <v>879</v>
      </c>
      <c r="B25" s="355">
        <v>2.3E-2</v>
      </c>
      <c r="C25" s="355">
        <v>2.3E-2</v>
      </c>
      <c r="D25" s="355">
        <v>2.3E-2</v>
      </c>
    </row>
    <row r="26" spans="1:14" ht="16" x14ac:dyDescent="0.35">
      <c r="A26" s="294" t="s">
        <v>460</v>
      </c>
      <c r="B26" s="294"/>
      <c r="C26" s="294"/>
      <c r="D26" s="294"/>
    </row>
    <row r="27" spans="1:14" x14ac:dyDescent="0.35">
      <c r="A27" s="17" t="s">
        <v>456</v>
      </c>
      <c r="B27" s="17" t="s">
        <v>904</v>
      </c>
      <c r="C27" s="17" t="s">
        <v>1</v>
      </c>
      <c r="D27" s="17" t="s">
        <v>2</v>
      </c>
    </row>
    <row r="28" spans="1:14" x14ac:dyDescent="0.35">
      <c r="A28" s="27" t="s">
        <v>461</v>
      </c>
      <c r="B28" s="45">
        <f>'📈 RATIOS_EFFICIENCY'!C8</f>
        <v>0.65736297600704385</v>
      </c>
      <c r="C28" s="45">
        <f>'📈 RATIOS_EFFICIENCY'!D8</f>
        <v>0.67480490037929985</v>
      </c>
      <c r="D28" s="45">
        <f>'📈 RATIOS_EFFICIENCY'!E8</f>
        <v>0.61831623354016918</v>
      </c>
    </row>
    <row r="29" spans="1:14" x14ac:dyDescent="0.35">
      <c r="A29" s="41" t="s">
        <v>876</v>
      </c>
      <c r="B29" s="48">
        <v>0.66</v>
      </c>
      <c r="C29" s="48">
        <v>0.66</v>
      </c>
      <c r="D29" s="48">
        <v>0.66</v>
      </c>
    </row>
    <row r="32" spans="1:14" x14ac:dyDescent="0.35">
      <c r="A32" s="316" t="s">
        <v>470</v>
      </c>
      <c r="B32" s="316"/>
      <c r="C32" s="316"/>
      <c r="D32" s="316"/>
      <c r="E32" s="316"/>
      <c r="G32" s="316" t="s">
        <v>471</v>
      </c>
      <c r="H32" s="316"/>
      <c r="J32" s="316" t="s">
        <v>977</v>
      </c>
      <c r="K32" s="316"/>
      <c r="L32" s="316"/>
      <c r="M32" s="316"/>
      <c r="N32" s="239"/>
    </row>
    <row r="33" spans="1:14" x14ac:dyDescent="0.35">
      <c r="A33" s="205" t="s">
        <v>7</v>
      </c>
      <c r="B33" s="205" t="s">
        <v>153</v>
      </c>
      <c r="C33" s="205" t="s">
        <v>154</v>
      </c>
      <c r="D33" s="205" t="s">
        <v>155</v>
      </c>
      <c r="E33" s="205" t="s">
        <v>156</v>
      </c>
      <c r="G33" s="205" t="s">
        <v>976</v>
      </c>
      <c r="H33" s="205" t="s">
        <v>472</v>
      </c>
      <c r="J33" s="205" t="s">
        <v>978</v>
      </c>
      <c r="K33" s="205" t="s">
        <v>153</v>
      </c>
      <c r="L33" s="205" t="s">
        <v>979</v>
      </c>
      <c r="M33" s="205" t="s">
        <v>980</v>
      </c>
      <c r="N33" s="205" t="s">
        <v>156</v>
      </c>
    </row>
    <row r="34" spans="1:14" x14ac:dyDescent="0.35">
      <c r="A34" s="10" t="s">
        <v>0</v>
      </c>
      <c r="B34" s="208">
        <f>0</f>
        <v>0</v>
      </c>
      <c r="C34" s="208">
        <f>0</f>
        <v>0</v>
      </c>
      <c r="D34" s="208">
        <f>0</f>
        <v>0</v>
      </c>
      <c r="E34" s="208">
        <f>'💧 WATERFALL_NET_INCOME'!B31</f>
        <v>9848</v>
      </c>
      <c r="G34" s="10" t="str">
        <f>'💧 WATERFALL_NET_INCOME'!A31</f>
        <v>Opening net income FY2022 (restated)</v>
      </c>
      <c r="H34" s="341">
        <f>'💧 WATERFALL_NET_INCOME'!B31</f>
        <v>9848</v>
      </c>
      <c r="J34" s="241">
        <f>H34</f>
        <v>9848</v>
      </c>
      <c r="K34" s="341">
        <f>0</f>
        <v>0</v>
      </c>
      <c r="L34" s="10">
        <f>0</f>
        <v>0</v>
      </c>
      <c r="M34" s="341">
        <f>0</f>
        <v>0</v>
      </c>
      <c r="N34" s="241">
        <f>H34</f>
        <v>9848</v>
      </c>
    </row>
    <row r="35" spans="1:14" x14ac:dyDescent="0.35">
      <c r="A35" s="206" t="s">
        <v>157</v>
      </c>
      <c r="B35" s="209">
        <f>MIN('💧 WATERFALL_NET_INCOME'!C31,'💧 WATERFALL_NET_INCOME'!C32)</f>
        <v>7973</v>
      </c>
      <c r="C35" s="209">
        <f>IF('💧 WATERFALL_NET_INCOME'!B32&gt;0,ABS('💧 WATERFALL_NET_INCOME'!B32),0)</f>
        <v>0</v>
      </c>
      <c r="D35" s="209">
        <f>IF('💧 WATERFALL_NET_INCOME'!B32&lt;0,ABS('💧 WATERFALL_NET_INCOME'!B32),0)</f>
        <v>1875</v>
      </c>
      <c r="E35" s="209">
        <f>0</f>
        <v>0</v>
      </c>
      <c r="G35" s="206" t="str">
        <f>'💧 WATERFALL_NET_INCOME'!A32</f>
        <v>Net Interest Income</v>
      </c>
      <c r="H35" s="342">
        <f>'💧 WATERFALL_NET_INCOME'!B32</f>
        <v>-1875</v>
      </c>
      <c r="J35" s="241">
        <f>J34+H35</f>
        <v>7973</v>
      </c>
      <c r="K35" s="342">
        <f>IF(H35&gt;=0,J34,J35)</f>
        <v>7973</v>
      </c>
      <c r="L35" s="206">
        <f>MAX(H35,0)</f>
        <v>0</v>
      </c>
      <c r="M35" s="342">
        <f>MAX(-H35,0)</f>
        <v>1875</v>
      </c>
      <c r="N35" s="206">
        <f>0</f>
        <v>0</v>
      </c>
    </row>
    <row r="36" spans="1:14" x14ac:dyDescent="0.35">
      <c r="A36" s="206" t="s">
        <v>158</v>
      </c>
      <c r="B36" s="209">
        <f>MIN('💧 WATERFALL_NET_INCOME'!C32,'💧 WATERFALL_NET_INCOME'!C33)</f>
        <v>7629</v>
      </c>
      <c r="C36" s="209">
        <f>IF('💧 WATERFALL_NET_INCOME'!B33&gt;0,ABS('💧 WATERFALL_NET_INCOME'!B33),0)</f>
        <v>0</v>
      </c>
      <c r="D36" s="209">
        <f>IF('💧 WATERFALL_NET_INCOME'!B33&lt;0,ABS('💧 WATERFALL_NET_INCOME'!B33),0)</f>
        <v>344</v>
      </c>
      <c r="E36" s="209">
        <f>0</f>
        <v>0</v>
      </c>
      <c r="G36" s="206" t="str">
        <f>'💧 WATERFALL_NET_INCOME'!A33</f>
        <v>Fee &amp; Commission Income</v>
      </c>
      <c r="H36" s="342">
        <f>'💧 WATERFALL_NET_INCOME'!B33</f>
        <v>-344</v>
      </c>
      <c r="J36" s="241">
        <f>J35+H36</f>
        <v>7629</v>
      </c>
      <c r="K36" s="342">
        <f>IF(H36&gt;=0,J35,J36)</f>
        <v>7629</v>
      </c>
      <c r="L36" s="206">
        <f>MAX(H36,0)</f>
        <v>0</v>
      </c>
      <c r="M36" s="342">
        <f>MAX(-H36,0)</f>
        <v>344</v>
      </c>
      <c r="N36" s="206">
        <f>0</f>
        <v>0</v>
      </c>
    </row>
    <row r="37" spans="1:14" x14ac:dyDescent="0.35">
      <c r="A37" s="206" t="s">
        <v>159</v>
      </c>
      <c r="B37" s="209">
        <f>MIN('💧 WATERFALL_NET_INCOME'!C33,'💧 WATERFALL_NET_INCOME'!C34)</f>
        <v>7629</v>
      </c>
      <c r="C37" s="209">
        <f>IF('💧 WATERFALL_NET_INCOME'!B34&gt;0,ABS('💧 WATERFALL_NET_INCOME'!B34),0)</f>
        <v>994</v>
      </c>
      <c r="D37" s="209">
        <f>IF('💧 WATERFALL_NET_INCOME'!B34&lt;0,ABS('💧 WATERFALL_NET_INCOME'!B34),0)</f>
        <v>0</v>
      </c>
      <c r="E37" s="209">
        <f>0</f>
        <v>0</v>
      </c>
      <c r="G37" s="206" t="str">
        <f>'💧 WATERFALL_NET_INCOME'!A34</f>
        <v>Trading Income</v>
      </c>
      <c r="H37" s="342">
        <f>'💧 WATERFALL_NET_INCOME'!B34</f>
        <v>994</v>
      </c>
      <c r="J37" s="241">
        <f>J36+H37</f>
        <v>8623</v>
      </c>
      <c r="K37" s="342">
        <f>IF(H37&gt;=0,J36,J37)</f>
        <v>7629</v>
      </c>
      <c r="L37" s="206">
        <f>MAX(H37,0)</f>
        <v>994</v>
      </c>
      <c r="M37" s="342">
        <f>MAX(-H37,0)</f>
        <v>0</v>
      </c>
      <c r="N37" s="206">
        <f>0</f>
        <v>0</v>
      </c>
    </row>
    <row r="38" spans="1:14" x14ac:dyDescent="0.35">
      <c r="A38" s="206" t="s">
        <v>172</v>
      </c>
      <c r="B38" s="209">
        <f>MIN('💧 WATERFALL_NET_INCOME'!C34,'💧 WATERFALL_NET_INCOME'!C35)</f>
        <v>8623</v>
      </c>
      <c r="C38" s="209">
        <f>IF('💧 WATERFALL_NET_INCOME'!B35&gt;0,ABS('💧 WATERFALL_NET_INCOME'!B35),0)</f>
        <v>1253</v>
      </c>
      <c r="D38" s="209">
        <f>IF('💧 WATERFALL_NET_INCOME'!B35&lt;0,ABS('💧 WATERFALL_NET_INCOME'!B35),0)</f>
        <v>0</v>
      </c>
      <c r="E38" s="209">
        <f>0</f>
        <v>0</v>
      </c>
      <c r="G38" s="206" t="str">
        <f>'💧 WATERFALL_NET_INCOME'!A35</f>
        <v>Other operating activities</v>
      </c>
      <c r="H38" s="342">
        <f>'💧 WATERFALL_NET_INCOME'!B35</f>
        <v>1253</v>
      </c>
      <c r="J38" s="241">
        <f>J37+H38</f>
        <v>9876</v>
      </c>
      <c r="K38" s="342">
        <f>IF(H38&gt;=0,J37,J38)</f>
        <v>8623</v>
      </c>
      <c r="L38" s="241">
        <f>MAX(H38,0)</f>
        <v>1253</v>
      </c>
      <c r="M38" s="342">
        <f>MAX(-H38,0)</f>
        <v>0</v>
      </c>
      <c r="N38" s="206">
        <f>0</f>
        <v>0</v>
      </c>
    </row>
    <row r="39" spans="1:14" x14ac:dyDescent="0.35">
      <c r="A39" s="206" t="s">
        <v>160</v>
      </c>
      <c r="B39" s="209">
        <f>MIN('💧 WATERFALL_NET_INCOME'!C35,'💧 WATERFALL_NET_INCOME'!C36)</f>
        <v>9876</v>
      </c>
      <c r="C39" s="209">
        <f>IF('💧 WATERFALL_NET_INCOME'!B36&gt;0,ABS('💧 WATERFALL_NET_INCOME'!B36),0)</f>
        <v>416</v>
      </c>
      <c r="D39" s="209">
        <f>IF('💧 WATERFALL_NET_INCOME'!B36&lt;0,ABS('💧 WATERFALL_NET_INCOME'!B36),0)</f>
        <v>0</v>
      </c>
      <c r="E39" s="209">
        <f>0</f>
        <v>0</v>
      </c>
      <c r="G39" s="206" t="str">
        <f>'💧 WATERFALL_NET_INCOME'!A36</f>
        <v>Unallocated NBI components</v>
      </c>
      <c r="H39" s="342">
        <f>'💧 WATERFALL_NET_INCOME'!B36</f>
        <v>416</v>
      </c>
      <c r="J39" s="241">
        <f>J38+H39</f>
        <v>10292</v>
      </c>
      <c r="K39" s="342">
        <f>IF(H39&gt;=0,J38,J39)</f>
        <v>9876</v>
      </c>
      <c r="L39" s="206">
        <f>MAX(H39,0)</f>
        <v>416</v>
      </c>
      <c r="M39" s="342">
        <f>MAX(-H39,0)</f>
        <v>0</v>
      </c>
      <c r="N39" s="206">
        <f>0</f>
        <v>0</v>
      </c>
    </row>
    <row r="40" spans="1:14" x14ac:dyDescent="0.35">
      <c r="A40" s="206" t="s">
        <v>161</v>
      </c>
      <c r="B40" s="209">
        <f>MIN('💧 WATERFALL_NET_INCOME'!C36,'💧 WATERFALL_NET_INCOME'!C37)</f>
        <v>9200</v>
      </c>
      <c r="C40" s="209">
        <f>IF('💧 WATERFALL_NET_INCOME'!B37&gt;0,ABS('💧 WATERFALL_NET_INCOME'!B37),0)</f>
        <v>0</v>
      </c>
      <c r="D40" s="209">
        <f>IF('💧 WATERFALL_NET_INCOME'!B37&lt;0,ABS('💧 WATERFALL_NET_INCOME'!B37),0)</f>
        <v>1092</v>
      </c>
      <c r="E40" s="209">
        <f>0</f>
        <v>0</v>
      </c>
      <c r="G40" s="206" t="str">
        <f>'💧 WATERFALL_NET_INCOME'!A37</f>
        <v>Operating expenses effect</v>
      </c>
      <c r="H40" s="342">
        <f>'💧 WATERFALL_NET_INCOME'!B37</f>
        <v>-1092</v>
      </c>
      <c r="J40" s="241">
        <f>J39+H40</f>
        <v>9200</v>
      </c>
      <c r="K40" s="342">
        <f>IF(H40&gt;=0,J39,J40)</f>
        <v>9200</v>
      </c>
      <c r="L40" s="206">
        <f>MAX(H40,0)</f>
        <v>0</v>
      </c>
      <c r="M40" s="342">
        <f>MAX(-H40,0)</f>
        <v>1092</v>
      </c>
      <c r="N40" s="206">
        <f>0</f>
        <v>0</v>
      </c>
    </row>
    <row r="41" spans="1:14" x14ac:dyDescent="0.35">
      <c r="A41" s="206" t="s">
        <v>173</v>
      </c>
      <c r="B41" s="209">
        <f>MIN('💧 WATERFALL_NET_INCOME'!C37,'💧 WATERFALL_NET_INCOME'!C38)</f>
        <v>9200</v>
      </c>
      <c r="C41" s="209">
        <f>IF('💧 WATERFALL_NET_INCOME'!B38&gt;0,ABS('💧 WATERFALL_NET_INCOME'!B38),0)</f>
        <v>96</v>
      </c>
      <c r="D41" s="209">
        <f>IF('💧 WATERFALL_NET_INCOME'!B38&lt;0,ABS('💧 WATERFALL_NET_INCOME'!B38),0)</f>
        <v>0</v>
      </c>
      <c r="E41" s="209">
        <f>0</f>
        <v>0</v>
      </c>
      <c r="G41" s="206" t="str">
        <f>'💧 WATERFALL_NET_INCOME'!A38</f>
        <v>Cost of Risk effect</v>
      </c>
      <c r="H41" s="342">
        <f>'💧 WATERFALL_NET_INCOME'!B38</f>
        <v>96</v>
      </c>
      <c r="J41" s="241">
        <f>J40+H41</f>
        <v>9296</v>
      </c>
      <c r="K41" s="342">
        <f>IF(H41&gt;=0,J40,J41)</f>
        <v>9200</v>
      </c>
      <c r="L41" s="206">
        <f>MAX(H41,0)</f>
        <v>96</v>
      </c>
      <c r="M41" s="342">
        <f>MAX(-H41,0)</f>
        <v>0</v>
      </c>
      <c r="N41" s="206">
        <f>0</f>
        <v>0</v>
      </c>
    </row>
    <row r="42" spans="1:14" x14ac:dyDescent="0.35">
      <c r="A42" s="206" t="s">
        <v>174</v>
      </c>
      <c r="B42" s="209">
        <f>MIN('💧 WATERFALL_NET_INCOME'!C38,'💧 WATERFALL_NET_INCOME'!C39)</f>
        <v>8521</v>
      </c>
      <c r="C42" s="209">
        <f>IF('💧 WATERFALL_NET_INCOME'!B39&gt;0,ABS('💧 WATERFALL_NET_INCOME'!B39),0)</f>
        <v>0</v>
      </c>
      <c r="D42" s="209">
        <f>IF('💧 WATERFALL_NET_INCOME'!B39&lt;0,ABS('💧 WATERFALL_NET_INCOME'!B39),0)</f>
        <v>775</v>
      </c>
      <c r="E42" s="209">
        <f>0</f>
        <v>0</v>
      </c>
      <c r="G42" s="206" t="str">
        <f>'💧 WATERFALL_NET_INCOME'!A39</f>
        <v>Other net losses for risk on financial instruments effect</v>
      </c>
      <c r="H42" s="342">
        <f>'💧 WATERFALL_NET_INCOME'!B39</f>
        <v>-775</v>
      </c>
      <c r="J42" s="241">
        <f>J41+H42</f>
        <v>8521</v>
      </c>
      <c r="K42" s="342">
        <f>IF(H42&gt;=0,J41,J42)</f>
        <v>8521</v>
      </c>
      <c r="L42" s="206">
        <f>MAX(H42,0)</f>
        <v>0</v>
      </c>
      <c r="M42" s="342">
        <f>MAX(-H42,0)</f>
        <v>775</v>
      </c>
      <c r="N42" s="206">
        <f>0</f>
        <v>0</v>
      </c>
    </row>
    <row r="43" spans="1:14" x14ac:dyDescent="0.35">
      <c r="A43" s="206" t="s">
        <v>175</v>
      </c>
      <c r="B43" s="209">
        <f>MIN('💧 WATERFALL_NET_INCOME'!C39,'💧 WATERFALL_NET_INCOME'!C40)</f>
        <v>8359</v>
      </c>
      <c r="C43" s="209">
        <f>IF('💧 WATERFALL_NET_INCOME'!B40&gt;0,ABS('💧 WATERFALL_NET_INCOME'!B40),0)</f>
        <v>0</v>
      </c>
      <c r="D43" s="209">
        <f>IF('💧 WATERFALL_NET_INCOME'!B40&lt;0,ABS('💧 WATERFALL_NET_INCOME'!B40),0)</f>
        <v>162</v>
      </c>
      <c r="E43" s="209">
        <f>0</f>
        <v>0</v>
      </c>
      <c r="G43" s="206" t="str">
        <f>'💧 WATERFALL_NET_INCOME'!A40</f>
        <v>Non-operating items</v>
      </c>
      <c r="H43" s="342">
        <f>'💧 WATERFALL_NET_INCOME'!B40</f>
        <v>-162</v>
      </c>
      <c r="J43" s="241">
        <f>J42+H43</f>
        <v>8359</v>
      </c>
      <c r="K43" s="342">
        <f>IF(H43&gt;=0,J42,J43)</f>
        <v>8359</v>
      </c>
      <c r="L43" s="206">
        <f>MAX(H43,0)</f>
        <v>0</v>
      </c>
      <c r="M43" s="342">
        <f>MAX(-H43,0)</f>
        <v>162</v>
      </c>
      <c r="N43" s="206">
        <f>0</f>
        <v>0</v>
      </c>
    </row>
    <row r="44" spans="1:14" x14ac:dyDescent="0.35">
      <c r="A44" s="206" t="s">
        <v>1</v>
      </c>
      <c r="B44" s="209">
        <f>0</f>
        <v>0</v>
      </c>
      <c r="C44" s="209">
        <f>0</f>
        <v>0</v>
      </c>
      <c r="D44" s="209">
        <f>0</f>
        <v>0</v>
      </c>
      <c r="E44" s="209">
        <f>'💧 WATERFALL_NET_INCOME'!B41</f>
        <v>387</v>
      </c>
      <c r="G44" s="206" t="str">
        <f>'💧 WATERFALL_NET_INCOME'!A41</f>
        <v>Tax effect</v>
      </c>
      <c r="H44" s="342">
        <f>'💧 WATERFALL_NET_INCOME'!B41</f>
        <v>387</v>
      </c>
      <c r="J44" s="241">
        <f>J43+H44</f>
        <v>8746</v>
      </c>
      <c r="K44" s="342">
        <f>IF(H44&gt;=0,J43,J44)</f>
        <v>8359</v>
      </c>
      <c r="L44" s="206">
        <f>MAX(H44,0)</f>
        <v>387</v>
      </c>
      <c r="M44" s="342">
        <f>MAX(-H44,0)</f>
        <v>0</v>
      </c>
      <c r="N44" s="206">
        <f>0</f>
        <v>0</v>
      </c>
    </row>
    <row r="45" spans="1:14" x14ac:dyDescent="0.35">
      <c r="A45" s="206" t="s">
        <v>162</v>
      </c>
      <c r="B45" s="209">
        <f>MIN('💧 WATERFALL_NET_INCOME'!C46,'💧 WATERFALL_NET_INCOME'!C47)</f>
        <v>10975</v>
      </c>
      <c r="C45" s="209">
        <f>IF('💧 WATERFALL_NET_INCOME'!B47&gt;0,ABS('💧 WATERFALL_NET_INCOME'!B47),0)</f>
        <v>466</v>
      </c>
      <c r="D45" s="209">
        <f>IF('💧 WATERFALL_NET_INCOME'!B47&lt;0,ABS('💧 WATERFALL_NET_INCOME'!B47),0)</f>
        <v>0</v>
      </c>
      <c r="E45" s="209">
        <f>0</f>
        <v>0</v>
      </c>
      <c r="G45" s="206" t="str">
        <f>'💧 WATERFALL_NET_INCOME'!A42</f>
        <v>Discontinued operations &amp; minority interests</v>
      </c>
      <c r="H45" s="342">
        <f>'💧 WATERFALL_NET_INCOME'!B42</f>
        <v>2229</v>
      </c>
      <c r="J45" s="241">
        <f>J44+H45</f>
        <v>10975</v>
      </c>
      <c r="K45" s="342">
        <f>IF(H45&gt;=0,J44,J45)</f>
        <v>8746</v>
      </c>
      <c r="L45" s="241">
        <f>MAX(H45,0)</f>
        <v>2229</v>
      </c>
      <c r="M45" s="342">
        <f>MAX(-H45,0)</f>
        <v>0</v>
      </c>
      <c r="N45" s="206">
        <f>0</f>
        <v>0</v>
      </c>
    </row>
    <row r="46" spans="1:14" x14ac:dyDescent="0.35">
      <c r="A46" s="206" t="s">
        <v>163</v>
      </c>
      <c r="B46" s="209">
        <f>MIN('💧 WATERFALL_NET_INCOME'!C47,'💧 WATERFALL_NET_INCOME'!C48)</f>
        <v>11441</v>
      </c>
      <c r="C46" s="209">
        <f>IF('💧 WATERFALL_NET_INCOME'!B48&gt;0,ABS('💧 WATERFALL_NET_INCOME'!B48),0)</f>
        <v>880</v>
      </c>
      <c r="D46" s="209">
        <f>IF('💧 WATERFALL_NET_INCOME'!B48&lt;0,ABS('💧 WATERFALL_NET_INCOME'!B48),0)</f>
        <v>0</v>
      </c>
      <c r="E46" s="209">
        <f>0</f>
        <v>0</v>
      </c>
      <c r="G46" s="206" t="str">
        <f>'💧 WATERFALL_NET_INCOME'!A43</f>
        <v>Closing net income FY2023</v>
      </c>
      <c r="H46" s="342">
        <f>'💧 WATERFALL_NET_INCOME'!B43</f>
        <v>10975</v>
      </c>
      <c r="J46" s="241">
        <f>H46</f>
        <v>10975</v>
      </c>
      <c r="K46" s="342">
        <f>0</f>
        <v>0</v>
      </c>
      <c r="L46" s="206">
        <f>0</f>
        <v>0</v>
      </c>
      <c r="M46" s="342">
        <f>0</f>
        <v>0</v>
      </c>
      <c r="N46" s="241">
        <f>H46</f>
        <v>10975</v>
      </c>
    </row>
    <row r="47" spans="1:14" x14ac:dyDescent="0.35">
      <c r="A47" s="206" t="s">
        <v>164</v>
      </c>
      <c r="B47" s="209">
        <f>MIN('💧 WATERFALL_NET_INCOME'!C48,'💧 WATERFALL_NET_INCOME'!C49)</f>
        <v>12321</v>
      </c>
      <c r="C47" s="209">
        <f>IF('💧 WATERFALL_NET_INCOME'!B49&gt;0,ABS('💧 WATERFALL_NET_INCOME'!B49),0)</f>
        <v>1223</v>
      </c>
      <c r="D47" s="209">
        <f>IF('💧 WATERFALL_NET_INCOME'!B49&lt;0,ABS('💧 WATERFALL_NET_INCOME'!B49),0)</f>
        <v>0</v>
      </c>
      <c r="E47" s="209">
        <f>0</f>
        <v>0</v>
      </c>
      <c r="G47" s="206" t="str">
        <f>'💧 WATERFALL_NET_INCOME'!A47</f>
        <v>Net Interest Income</v>
      </c>
      <c r="H47" s="342">
        <f>'💧 WATERFALL_NET_INCOME'!B47</f>
        <v>466</v>
      </c>
      <c r="J47" s="241">
        <f>J46+H47</f>
        <v>11441</v>
      </c>
      <c r="K47" s="342">
        <f>IF(H47&gt;=0,J46,J47)</f>
        <v>10975</v>
      </c>
      <c r="L47" s="241">
        <f>MAX(H47,0)</f>
        <v>466</v>
      </c>
      <c r="M47" s="342">
        <f>MAX(-H47,0)</f>
        <v>0</v>
      </c>
      <c r="N47" s="206">
        <f>0</f>
        <v>0</v>
      </c>
    </row>
    <row r="48" spans="1:14" x14ac:dyDescent="0.35">
      <c r="A48" s="206" t="s">
        <v>176</v>
      </c>
      <c r="B48" s="209">
        <f>MIN('💧 WATERFALL_NET_INCOME'!C49,'💧 WATERFALL_NET_INCOME'!C50)</f>
        <v>13544</v>
      </c>
      <c r="C48" s="209">
        <f>IF('💧 WATERFALL_NET_INCOME'!B50&gt;0,ABS('💧 WATERFALL_NET_INCOME'!B50),0)</f>
        <v>142</v>
      </c>
      <c r="D48" s="209">
        <f>IF('💧 WATERFALL_NET_INCOME'!B50&lt;0,ABS('💧 WATERFALL_NET_INCOME'!B50),0)</f>
        <v>0</v>
      </c>
      <c r="E48" s="209">
        <f>0</f>
        <v>0</v>
      </c>
      <c r="G48" s="206" t="str">
        <f>'💧 WATERFALL_NET_INCOME'!A48</f>
        <v>Fee &amp; Commission Income</v>
      </c>
      <c r="H48" s="342">
        <f>'💧 WATERFALL_NET_INCOME'!B48</f>
        <v>880</v>
      </c>
      <c r="J48" s="241">
        <f>J47+H48</f>
        <v>12321</v>
      </c>
      <c r="K48" s="342">
        <f>IF(H48&gt;=0,J47,J48)</f>
        <v>11441</v>
      </c>
      <c r="L48" s="241">
        <f>MAX(H48,0)</f>
        <v>880</v>
      </c>
      <c r="M48" s="342">
        <f>MAX(-H48,0)</f>
        <v>0</v>
      </c>
      <c r="N48" s="206">
        <f>0</f>
        <v>0</v>
      </c>
    </row>
    <row r="49" spans="1:14" x14ac:dyDescent="0.35">
      <c r="A49" s="206" t="s">
        <v>165</v>
      </c>
      <c r="B49" s="209">
        <f>MIN('💧 WATERFALL_NET_INCOME'!C50,'💧 WATERFALL_NET_INCOME'!C51)</f>
        <v>13686</v>
      </c>
      <c r="C49" s="209">
        <f>IF('💧 WATERFALL_NET_INCOME'!B51&gt;0,ABS('💧 WATERFALL_NET_INCOME'!B51),0)</f>
        <v>246</v>
      </c>
      <c r="D49" s="209">
        <f>IF('💧 WATERFALL_NET_INCOME'!B51&lt;0,ABS('💧 WATERFALL_NET_INCOME'!B51),0)</f>
        <v>0</v>
      </c>
      <c r="E49" s="209">
        <f>0</f>
        <v>0</v>
      </c>
      <c r="G49" s="206" t="str">
        <f>'💧 WATERFALL_NET_INCOME'!A49</f>
        <v>Trading Income</v>
      </c>
      <c r="H49" s="342">
        <f>'💧 WATERFALL_NET_INCOME'!B49</f>
        <v>1223</v>
      </c>
      <c r="J49" s="241">
        <f>J48+H49</f>
        <v>13544</v>
      </c>
      <c r="K49" s="342">
        <f>IF(H49&gt;=0,J48,J49)</f>
        <v>12321</v>
      </c>
      <c r="L49" s="241">
        <f>MAX(H49,0)</f>
        <v>1223</v>
      </c>
      <c r="M49" s="342">
        <f>MAX(-H49,0)</f>
        <v>0</v>
      </c>
      <c r="N49" s="206">
        <f>0</f>
        <v>0</v>
      </c>
    </row>
    <row r="50" spans="1:14" x14ac:dyDescent="0.35">
      <c r="A50" s="206" t="s">
        <v>166</v>
      </c>
      <c r="B50" s="209">
        <f>MIN('💧 WATERFALL_NET_INCOME'!C51,'💧 WATERFALL_NET_INCOME'!C52)</f>
        <v>13932</v>
      </c>
      <c r="C50" s="209">
        <f>IF('💧 WATERFALL_NET_INCOME'!B52&gt;0,ABS('💧 WATERFALL_NET_INCOME'!B52),0)</f>
        <v>763</v>
      </c>
      <c r="D50" s="209">
        <f>IF('💧 WATERFALL_NET_INCOME'!B52&lt;0,ABS('💧 WATERFALL_NET_INCOME'!B52),0)</f>
        <v>0</v>
      </c>
      <c r="E50" s="209">
        <f>0</f>
        <v>0</v>
      </c>
      <c r="G50" s="206" t="str">
        <f>'💧 WATERFALL_NET_INCOME'!A50</f>
        <v>Other operating activities</v>
      </c>
      <c r="H50" s="342">
        <f>'💧 WATERFALL_NET_INCOME'!B50</f>
        <v>142</v>
      </c>
      <c r="J50" s="241">
        <f>J49+H50</f>
        <v>13686</v>
      </c>
      <c r="K50" s="342">
        <f>IF(H50&gt;=0,J49,J50)</f>
        <v>13544</v>
      </c>
      <c r="L50" s="241">
        <f>MAX(H50,0)</f>
        <v>142</v>
      </c>
      <c r="M50" s="342">
        <f>MAX(-H50,0)</f>
        <v>0</v>
      </c>
      <c r="N50" s="206">
        <f>0</f>
        <v>0</v>
      </c>
    </row>
    <row r="51" spans="1:14" x14ac:dyDescent="0.35">
      <c r="A51" s="206" t="s">
        <v>177</v>
      </c>
      <c r="B51" s="209">
        <f>MIN('💧 WATERFALL_NET_INCOME'!C52,'💧 WATERFALL_NET_INCOME'!C53)</f>
        <v>14603</v>
      </c>
      <c r="C51" s="209">
        <f>IF('💧 WATERFALL_NET_INCOME'!B53&gt;0,ABS('💧 WATERFALL_NET_INCOME'!B53),0)</f>
        <v>0</v>
      </c>
      <c r="D51" s="209">
        <f>IF('💧 WATERFALL_NET_INCOME'!B53&lt;0,ABS('💧 WATERFALL_NET_INCOME'!B53),0)</f>
        <v>92</v>
      </c>
      <c r="E51" s="209">
        <f>0</f>
        <v>0</v>
      </c>
      <c r="G51" s="206" t="str">
        <f>'💧 WATERFALL_NET_INCOME'!A51</f>
        <v>Unallocated NBI components</v>
      </c>
      <c r="H51" s="342">
        <f>'💧 WATERFALL_NET_INCOME'!B51</f>
        <v>246</v>
      </c>
      <c r="J51" s="241">
        <f>J50+H51</f>
        <v>13932</v>
      </c>
      <c r="K51" s="342">
        <f>IF(H51&gt;=0,J50,J51)</f>
        <v>13686</v>
      </c>
      <c r="L51" s="241">
        <f>MAX(H51,0)</f>
        <v>246</v>
      </c>
      <c r="M51" s="342">
        <f>MAX(-H51,0)</f>
        <v>0</v>
      </c>
      <c r="N51" s="206">
        <f>0</f>
        <v>0</v>
      </c>
    </row>
    <row r="52" spans="1:14" x14ac:dyDescent="0.35">
      <c r="A52" s="206" t="s">
        <v>178</v>
      </c>
      <c r="B52" s="209">
        <f>MIN('💧 WATERFALL_NET_INCOME'!C53,'💧 WATERFALL_NET_INCOME'!C54)</f>
        <v>14603</v>
      </c>
      <c r="C52" s="209">
        <f>IF('💧 WATERFALL_NET_INCOME'!B54&gt;0,ABS('💧 WATERFALL_NET_INCOME'!B54),0)</f>
        <v>573</v>
      </c>
      <c r="D52" s="209">
        <f>IF('💧 WATERFALL_NET_INCOME'!B54&lt;0,ABS('💧 WATERFALL_NET_INCOME'!B54),0)</f>
        <v>0</v>
      </c>
      <c r="E52" s="209">
        <f>0</f>
        <v>0</v>
      </c>
      <c r="G52" s="206" t="str">
        <f>'💧 WATERFALL_NET_INCOME'!A52</f>
        <v>Operating expenses effect</v>
      </c>
      <c r="H52" s="342">
        <f>'💧 WATERFALL_NET_INCOME'!B52</f>
        <v>763</v>
      </c>
      <c r="J52" s="241">
        <f>J51+H52</f>
        <v>14695</v>
      </c>
      <c r="K52" s="342">
        <f>IF(H52&gt;=0,J51,J52)</f>
        <v>13932</v>
      </c>
      <c r="L52" s="241">
        <f>MAX(H52,0)</f>
        <v>763</v>
      </c>
      <c r="M52" s="342">
        <f>MAX(-H52,0)</f>
        <v>0</v>
      </c>
      <c r="N52" s="206">
        <f>0</f>
        <v>0</v>
      </c>
    </row>
    <row r="53" spans="1:14" x14ac:dyDescent="0.35">
      <c r="A53" s="206" t="s">
        <v>179</v>
      </c>
      <c r="B53" s="209">
        <f>MIN('💧 WATERFALL_NET_INCOME'!C54,'💧 WATERFALL_NET_INCOME'!C55)</f>
        <v>15176</v>
      </c>
      <c r="C53" s="209">
        <f>IF('💧 WATERFALL_NET_INCOME'!B55&gt;0,ABS('💧 WATERFALL_NET_INCOME'!B55),0)</f>
        <v>262</v>
      </c>
      <c r="D53" s="209">
        <f>IF('💧 WATERFALL_NET_INCOME'!B55&lt;0,ABS('💧 WATERFALL_NET_INCOME'!B55),0)</f>
        <v>0</v>
      </c>
      <c r="E53" s="209">
        <f>0</f>
        <v>0</v>
      </c>
      <c r="G53" s="206" t="str">
        <f>'💧 WATERFALL_NET_INCOME'!A53</f>
        <v>Cost of Risk effect</v>
      </c>
      <c r="H53" s="342">
        <f>'💧 WATERFALL_NET_INCOME'!B53</f>
        <v>-92</v>
      </c>
      <c r="J53" s="241">
        <f>J52+H53</f>
        <v>14603</v>
      </c>
      <c r="K53" s="342">
        <f>IF(H53&gt;=0,J52,J53)</f>
        <v>14603</v>
      </c>
      <c r="L53" s="241">
        <f>MAX(H53,0)</f>
        <v>0</v>
      </c>
      <c r="M53" s="342">
        <f>MAX(-H53,0)</f>
        <v>92</v>
      </c>
      <c r="N53" s="206">
        <f>0</f>
        <v>0</v>
      </c>
    </row>
    <row r="54" spans="1:14" x14ac:dyDescent="0.35">
      <c r="A54" s="207" t="s">
        <v>2</v>
      </c>
      <c r="B54" s="210">
        <f>0</f>
        <v>0</v>
      </c>
      <c r="C54" s="210">
        <f>0</f>
        <v>0</v>
      </c>
      <c r="D54" s="210">
        <f>0</f>
        <v>0</v>
      </c>
      <c r="E54" s="210">
        <f>'💧 WATERFALL_NET_INCOME'!B56</f>
        <v>-735</v>
      </c>
      <c r="G54" s="207" t="str">
        <f>'💧 WATERFALL_NET_INCOME'!A54</f>
        <v>Other net losses for risk on financial instruments effect</v>
      </c>
      <c r="H54" s="343">
        <f>'💧 WATERFALL_NET_INCOME'!B54</f>
        <v>573</v>
      </c>
      <c r="J54" s="241">
        <f>J53+H54</f>
        <v>15176</v>
      </c>
      <c r="K54" s="343">
        <f>IF(H54&gt;=0,J53,J54)</f>
        <v>14603</v>
      </c>
      <c r="L54" s="241">
        <f>MAX(H54,0)</f>
        <v>573</v>
      </c>
      <c r="M54" s="343">
        <f>MAX(-H54,0)</f>
        <v>0</v>
      </c>
      <c r="N54" s="207">
        <f>0</f>
        <v>0</v>
      </c>
    </row>
    <row r="55" spans="1:14" x14ac:dyDescent="0.35">
      <c r="G55" t="str">
        <f>'💧 WATERFALL_NET_INCOME'!A55</f>
        <v>Non-operating items</v>
      </c>
      <c r="H55" s="241">
        <f>'💧 WATERFALL_NET_INCOME'!B55</f>
        <v>262</v>
      </c>
      <c r="J55" s="241">
        <f>J54+H55</f>
        <v>15438</v>
      </c>
      <c r="K55" s="241">
        <f>IF(H55&gt;=0,J54,J55)</f>
        <v>15176</v>
      </c>
      <c r="L55" s="241">
        <f>MAX(H55,0)</f>
        <v>262</v>
      </c>
      <c r="M55" s="241">
        <f>MAX(-H55,0)</f>
        <v>0</v>
      </c>
      <c r="N55">
        <f>0</f>
        <v>0</v>
      </c>
    </row>
    <row r="56" spans="1:14" x14ac:dyDescent="0.35">
      <c r="G56" t="str">
        <f>'💧 WATERFALL_NET_INCOME'!A56</f>
        <v>Tax effect</v>
      </c>
      <c r="H56" s="241">
        <f>'💧 WATERFALL_NET_INCOME'!B56</f>
        <v>-735</v>
      </c>
      <c r="J56" s="241">
        <f>J55+H56</f>
        <v>14703</v>
      </c>
      <c r="K56" s="241">
        <f>IF(H56&gt;=0,J55,J56)</f>
        <v>14703</v>
      </c>
      <c r="L56">
        <f>MAX(H56,0)</f>
        <v>0</v>
      </c>
      <c r="M56" s="241">
        <f>MAX(-H56,0)</f>
        <v>735</v>
      </c>
      <c r="N56">
        <f>0</f>
        <v>0</v>
      </c>
    </row>
    <row r="57" spans="1:14" x14ac:dyDescent="0.35">
      <c r="G57" t="str">
        <f>'💧 WATERFALL_NET_INCOME'!A57</f>
        <v>Discontinued operations &amp; minority interests</v>
      </c>
      <c r="H57" s="241">
        <f>'💧 WATERFALL_NET_INCOME'!B57</f>
        <v>-3015</v>
      </c>
      <c r="J57" s="241">
        <f>J56+H57</f>
        <v>11688</v>
      </c>
      <c r="K57" s="241">
        <f>IF(H57&gt;=0,J56,J57)</f>
        <v>11688</v>
      </c>
      <c r="L57">
        <f>MAX(H57,0)</f>
        <v>0</v>
      </c>
      <c r="M57" s="241">
        <f>MAX(-H57,0)</f>
        <v>3015</v>
      </c>
      <c r="N57">
        <f>0</f>
        <v>0</v>
      </c>
    </row>
    <row r="58" spans="1:14" x14ac:dyDescent="0.35">
      <c r="G58" t="str">
        <f>'💧 WATERFALL_NET_INCOME'!A58</f>
        <v>Closing net income FY2024</v>
      </c>
      <c r="H58" s="241">
        <f>'💧 WATERFALL_NET_INCOME'!B58</f>
        <v>11688</v>
      </c>
      <c r="J58" s="241">
        <f>H58</f>
        <v>11688</v>
      </c>
      <c r="K58" s="241">
        <f>0</f>
        <v>0</v>
      </c>
      <c r="L58">
        <f>0</f>
        <v>0</v>
      </c>
      <c r="M58" s="241">
        <f>0</f>
        <v>0</v>
      </c>
      <c r="N58" s="241">
        <f>H58</f>
        <v>11688</v>
      </c>
    </row>
  </sheetData>
  <mergeCells count="13">
    <mergeCell ref="J32:K32"/>
    <mergeCell ref="L32:M32"/>
    <mergeCell ref="A20:D20"/>
    <mergeCell ref="A26:D26"/>
    <mergeCell ref="A32:E32"/>
    <mergeCell ref="G32:H32"/>
    <mergeCell ref="A1:D1"/>
    <mergeCell ref="A2:D2"/>
    <mergeCell ref="A3:D3"/>
    <mergeCell ref="A5:D5"/>
    <mergeCell ref="A10:D10"/>
    <mergeCell ref="A15:D15"/>
    <mergeCell ref="A25:D2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C91F4-ED51-4EED-A8EF-310FD6D07728}">
  <sheetPr>
    <tabColor rgb="FFC55A11"/>
  </sheetPr>
  <dimension ref="A1:J50"/>
  <sheetViews>
    <sheetView showGridLines="0" workbookViewId="0">
      <selection activeCell="D45" sqref="D45"/>
    </sheetView>
  </sheetViews>
  <sheetFormatPr defaultRowHeight="14.5" x14ac:dyDescent="0.35"/>
  <cols>
    <col min="1" max="1" width="13" bestFit="1" customWidth="1"/>
    <col min="2" max="3" width="30.90625" customWidth="1"/>
    <col min="4" max="4" width="12.6328125" bestFit="1" customWidth="1"/>
    <col min="5" max="5" width="9.81640625" bestFit="1" customWidth="1"/>
    <col min="6" max="6" width="7.1796875" bestFit="1" customWidth="1"/>
    <col min="7" max="7" width="31.90625" customWidth="1"/>
    <col min="8" max="8" width="11.54296875" customWidth="1"/>
    <col min="9" max="9" width="24.1796875" bestFit="1" customWidth="1"/>
    <col min="10" max="10" width="10.08984375" bestFit="1" customWidth="1"/>
  </cols>
  <sheetData>
    <row r="1" spans="1:10" ht="23.5" x14ac:dyDescent="0.35">
      <c r="A1" s="317" t="s">
        <v>474</v>
      </c>
      <c r="B1" s="317"/>
      <c r="C1" s="317"/>
      <c r="D1" s="317"/>
      <c r="E1" s="317"/>
      <c r="F1" s="317"/>
      <c r="G1" s="317"/>
      <c r="H1" s="317"/>
      <c r="I1" s="317"/>
      <c r="J1" s="317"/>
    </row>
    <row r="2" spans="1:10" x14ac:dyDescent="0.35">
      <c r="A2" s="292" t="s">
        <v>475</v>
      </c>
      <c r="B2" s="292"/>
      <c r="C2" s="292"/>
      <c r="D2" s="292"/>
      <c r="E2" s="292"/>
      <c r="F2" s="292"/>
      <c r="G2" s="292"/>
      <c r="H2" s="292"/>
      <c r="I2" s="292"/>
      <c r="J2" s="292"/>
    </row>
    <row r="3" spans="1:10" x14ac:dyDescent="0.35">
      <c r="A3" s="293" t="s">
        <v>618</v>
      </c>
      <c r="B3" s="293"/>
      <c r="C3" s="293"/>
      <c r="D3" s="293"/>
      <c r="E3" s="293"/>
      <c r="F3" s="293"/>
      <c r="G3" s="293"/>
      <c r="H3" s="293"/>
      <c r="I3" s="293"/>
      <c r="J3" s="293"/>
    </row>
    <row r="4" spans="1:10" x14ac:dyDescent="0.35">
      <c r="A4" s="311" t="str">
        <f>"Control status is generated from the live control register below. "&amp;IF(B35=0,"All controls pass.",B35&amp;" control(s) require review before publication.")</f>
        <v>Control status is generated from the live control register below. All controls pass.</v>
      </c>
      <c r="B4" s="311"/>
      <c r="C4" s="311"/>
      <c r="D4" s="311"/>
      <c r="E4" s="311"/>
      <c r="F4" s="311"/>
      <c r="G4" s="311"/>
      <c r="H4" s="311"/>
      <c r="I4" s="311"/>
      <c r="J4" s="311"/>
    </row>
    <row r="5" spans="1:10" x14ac:dyDescent="0.35">
      <c r="A5" s="12"/>
      <c r="B5" s="12"/>
      <c r="C5" s="12"/>
      <c r="D5" s="12"/>
      <c r="E5" s="12"/>
      <c r="F5" s="12"/>
      <c r="G5" s="12"/>
    </row>
    <row r="6" spans="1:10" ht="16" x14ac:dyDescent="0.35">
      <c r="A6" s="294" t="s">
        <v>476</v>
      </c>
      <c r="B6" s="294"/>
      <c r="C6" s="294"/>
      <c r="D6" s="294"/>
      <c r="E6" s="294"/>
      <c r="F6" s="294"/>
      <c r="G6" s="294"/>
      <c r="H6" s="294"/>
      <c r="I6" s="294"/>
      <c r="J6" s="294"/>
    </row>
    <row r="7" spans="1:10" ht="29" x14ac:dyDescent="0.35">
      <c r="A7" s="17" t="s">
        <v>477</v>
      </c>
      <c r="B7" s="17" t="s">
        <v>478</v>
      </c>
      <c r="C7" s="161" t="s">
        <v>479</v>
      </c>
      <c r="D7" s="17" t="s">
        <v>480</v>
      </c>
      <c r="E7" s="161" t="s">
        <v>481</v>
      </c>
      <c r="F7" s="17" t="s">
        <v>149</v>
      </c>
      <c r="G7" s="17" t="s">
        <v>482</v>
      </c>
      <c r="H7" s="248" t="s">
        <v>830</v>
      </c>
      <c r="I7" s="205" t="s">
        <v>831</v>
      </c>
      <c r="J7" s="248" t="s">
        <v>832</v>
      </c>
    </row>
    <row r="8" spans="1:10" x14ac:dyDescent="0.35">
      <c r="A8" s="27" t="s">
        <v>483</v>
      </c>
      <c r="B8" s="38" t="s">
        <v>484</v>
      </c>
      <c r="C8" s="38" t="s">
        <v>485</v>
      </c>
      <c r="D8" s="173">
        <f>'🏦 BALANCE_SHEET'!B68</f>
        <v>0</v>
      </c>
      <c r="E8" s="23" t="s">
        <v>486</v>
      </c>
      <c r="F8" s="63" t="str">
        <f>IF(ABS(D8)&lt;=1,"PASS","REVIEW")</f>
        <v>PASS</v>
      </c>
      <c r="G8" s="214" t="s">
        <v>619</v>
      </c>
      <c r="H8" s="38" t="s">
        <v>15</v>
      </c>
      <c r="I8" s="38" t="s">
        <v>833</v>
      </c>
      <c r="J8" s="173">
        <f>DATE(2026,8,25)</f>
        <v>46259</v>
      </c>
    </row>
    <row r="9" spans="1:10" x14ac:dyDescent="0.35">
      <c r="A9" s="28" t="s">
        <v>487</v>
      </c>
      <c r="B9" s="40" t="s">
        <v>488</v>
      </c>
      <c r="C9" s="40" t="s">
        <v>485</v>
      </c>
      <c r="D9" s="53">
        <f>'🏦 BALANCE_SHEET'!C68</f>
        <v>0</v>
      </c>
      <c r="E9" s="24" t="s">
        <v>486</v>
      </c>
      <c r="F9" s="30" t="str">
        <f>IF(ABS(D9)&lt;=1,"PASS","REVIEW")</f>
        <v>PASS</v>
      </c>
      <c r="G9" s="215" t="s">
        <v>620</v>
      </c>
      <c r="H9" s="38" t="s">
        <v>15</v>
      </c>
      <c r="I9" s="38" t="s">
        <v>833</v>
      </c>
      <c r="J9" s="173">
        <f t="shared" ref="J9:J27" si="0">DATE(2026,8,25)</f>
        <v>46259</v>
      </c>
    </row>
    <row r="10" spans="1:10" x14ac:dyDescent="0.35">
      <c r="A10" s="28" t="s">
        <v>489</v>
      </c>
      <c r="B10" s="40" t="s">
        <v>490</v>
      </c>
      <c r="C10" s="40" t="s">
        <v>485</v>
      </c>
      <c r="D10" s="53">
        <f>'🏦 BALANCE_SHEET'!D68</f>
        <v>0</v>
      </c>
      <c r="E10" s="24" t="s">
        <v>486</v>
      </c>
      <c r="F10" s="30" t="str">
        <f>IF(ABS(D10)&lt;=1,"PASS","REVIEW")</f>
        <v>PASS</v>
      </c>
      <c r="G10" s="215" t="s">
        <v>621</v>
      </c>
      <c r="H10" s="38" t="s">
        <v>15</v>
      </c>
      <c r="I10" s="38" t="s">
        <v>833</v>
      </c>
      <c r="J10" s="173">
        <f t="shared" si="0"/>
        <v>46259</v>
      </c>
    </row>
    <row r="11" spans="1:10" ht="26" x14ac:dyDescent="0.35">
      <c r="A11" s="28" t="s">
        <v>491</v>
      </c>
      <c r="B11" s="40" t="s">
        <v>1180</v>
      </c>
      <c r="C11" s="40" t="s">
        <v>1181</v>
      </c>
      <c r="D11" s="53">
        <f>'💰 CASH_FLOW'!B49</f>
        <v>0</v>
      </c>
      <c r="E11" s="24" t="s">
        <v>497</v>
      </c>
      <c r="F11" s="30" t="str">
        <f>IF(ABS(D11)&lt;=1,"PASS","REVIEW")</f>
        <v>PASS</v>
      </c>
      <c r="G11" s="215" t="s">
        <v>1182</v>
      </c>
      <c r="H11" s="38" t="s">
        <v>15</v>
      </c>
      <c r="I11" s="38" t="s">
        <v>834</v>
      </c>
      <c r="J11" s="173">
        <f t="shared" si="0"/>
        <v>46259</v>
      </c>
    </row>
    <row r="12" spans="1:10" ht="26" x14ac:dyDescent="0.35">
      <c r="A12" s="28" t="s">
        <v>492</v>
      </c>
      <c r="B12" s="40" t="s">
        <v>1183</v>
      </c>
      <c r="C12" s="40" t="s">
        <v>1181</v>
      </c>
      <c r="D12" s="53">
        <f>'💰 CASH_FLOW'!C49</f>
        <v>0</v>
      </c>
      <c r="E12" s="217" t="s">
        <v>497</v>
      </c>
      <c r="F12" s="30" t="str">
        <f>IF(ABS(D12)&lt;=1,"PASS","REVIEW")</f>
        <v>PASS</v>
      </c>
      <c r="G12" s="215" t="s">
        <v>1184</v>
      </c>
      <c r="H12" s="38" t="s">
        <v>15</v>
      </c>
      <c r="I12" s="38" t="s">
        <v>835</v>
      </c>
      <c r="J12" s="173">
        <f t="shared" si="0"/>
        <v>46259</v>
      </c>
    </row>
    <row r="13" spans="1:10" ht="26" x14ac:dyDescent="0.35">
      <c r="A13" s="28" t="s">
        <v>493</v>
      </c>
      <c r="B13" s="40" t="s">
        <v>1185</v>
      </c>
      <c r="C13" s="40" t="s">
        <v>1181</v>
      </c>
      <c r="D13" s="53">
        <f>'💰 CASH_FLOW'!D49</f>
        <v>0</v>
      </c>
      <c r="E13" s="217" t="s">
        <v>497</v>
      </c>
      <c r="F13" s="30" t="str">
        <f>IF(ABS(D13)&lt;=1,"PASS","REVIEW")</f>
        <v>PASS</v>
      </c>
      <c r="G13" s="215" t="s">
        <v>1186</v>
      </c>
      <c r="H13" s="38" t="s">
        <v>15</v>
      </c>
      <c r="I13" s="38" t="s">
        <v>836</v>
      </c>
      <c r="J13" s="173">
        <f t="shared" si="0"/>
        <v>46259</v>
      </c>
    </row>
    <row r="14" spans="1:10" ht="26" x14ac:dyDescent="0.35">
      <c r="A14" s="28" t="s">
        <v>494</v>
      </c>
      <c r="B14" s="40" t="s">
        <v>495</v>
      </c>
      <c r="C14" s="40" t="s">
        <v>496</v>
      </c>
      <c r="D14" s="53">
        <f>'🧮VARIANCE BRIDGE'!B21</f>
        <v>0</v>
      </c>
      <c r="E14" s="24" t="s">
        <v>497</v>
      </c>
      <c r="F14" s="30" t="str">
        <f>IF(ABS(D14)&lt;=1,"PASS","REVIEW")</f>
        <v>PASS</v>
      </c>
      <c r="G14" s="215" t="s">
        <v>981</v>
      </c>
      <c r="H14" s="38" t="s">
        <v>15</v>
      </c>
      <c r="I14" s="38" t="s">
        <v>837</v>
      </c>
      <c r="J14" s="173">
        <f t="shared" si="0"/>
        <v>46259</v>
      </c>
    </row>
    <row r="15" spans="1:10" ht="26" x14ac:dyDescent="0.35">
      <c r="A15" s="28" t="s">
        <v>498</v>
      </c>
      <c r="B15" s="40" t="s">
        <v>499</v>
      </c>
      <c r="C15" s="40" t="s">
        <v>496</v>
      </c>
      <c r="D15" s="53">
        <f>'🧮VARIANCE BRIDGE'!B38</f>
        <v>0</v>
      </c>
      <c r="E15" s="24" t="s">
        <v>497</v>
      </c>
      <c r="F15" s="30" t="str">
        <f>IF(ABS(D15)&lt;=1,"PASS","REVIEW")</f>
        <v>PASS</v>
      </c>
      <c r="G15" s="215" t="s">
        <v>982</v>
      </c>
      <c r="H15" s="38" t="s">
        <v>15</v>
      </c>
      <c r="I15" s="38" t="s">
        <v>837</v>
      </c>
      <c r="J15" s="173">
        <f t="shared" si="0"/>
        <v>46259</v>
      </c>
    </row>
    <row r="16" spans="1:10" ht="26" x14ac:dyDescent="0.35">
      <c r="A16" s="28" t="s">
        <v>500</v>
      </c>
      <c r="B16" s="40" t="s">
        <v>501</v>
      </c>
      <c r="C16" s="40" t="s">
        <v>496</v>
      </c>
      <c r="D16" s="53">
        <f>'💧 WATERFALL_NET_INCOME'!F61</f>
        <v>0</v>
      </c>
      <c r="E16" s="24" t="s">
        <v>497</v>
      </c>
      <c r="F16" s="30" t="str">
        <f>IF(ABS(D16)&lt;=1,"PASS","REVIEW")</f>
        <v>PASS</v>
      </c>
      <c r="G16" s="215" t="s">
        <v>622</v>
      </c>
      <c r="H16" s="38" t="s">
        <v>15</v>
      </c>
      <c r="I16" s="38" t="s">
        <v>838</v>
      </c>
      <c r="J16" s="173">
        <f t="shared" si="0"/>
        <v>46259</v>
      </c>
    </row>
    <row r="17" spans="1:10" ht="26" x14ac:dyDescent="0.35">
      <c r="A17" s="28" t="s">
        <v>502</v>
      </c>
      <c r="B17" s="40" t="s">
        <v>503</v>
      </c>
      <c r="C17" s="40" t="s">
        <v>496</v>
      </c>
      <c r="D17" s="53">
        <f>'💧 WATERFALL_NET_INCOME'!F62</f>
        <v>0</v>
      </c>
      <c r="E17" s="24" t="s">
        <v>497</v>
      </c>
      <c r="F17" s="30" t="str">
        <f>IF(ABS(D17)&lt;=1,"PASS","REVIEW")</f>
        <v>PASS</v>
      </c>
      <c r="G17" s="215" t="s">
        <v>623</v>
      </c>
      <c r="H17" s="38" t="s">
        <v>15</v>
      </c>
      <c r="I17" s="38" t="s">
        <v>838</v>
      </c>
      <c r="J17" s="173">
        <f t="shared" si="0"/>
        <v>46259</v>
      </c>
    </row>
    <row r="18" spans="1:10" ht="26" x14ac:dyDescent="0.35">
      <c r="A18" s="28" t="s">
        <v>504</v>
      </c>
      <c r="B18" s="40" t="s">
        <v>505</v>
      </c>
      <c r="C18" s="40" t="s">
        <v>506</v>
      </c>
      <c r="D18" s="216">
        <f>MAX(ABS('📄 INCOME_STATEMENT'!B48-'📈 RATIOS_EFFICIENCY'!C8),ABS('📄 INCOME_STATEMENT'!C48-'📈 RATIOS_EFFICIENCY'!D8),ABS('📄 INCOME_STATEMENT'!D48-'📈 RATIOS_EFFICIENCY'!E8))</f>
        <v>0</v>
      </c>
      <c r="E18" s="24" t="s">
        <v>507</v>
      </c>
      <c r="F18" s="30" t="str">
        <f>IF(ABS(D18)&lt;=0.0001,"PASS","REVIEW")</f>
        <v>PASS</v>
      </c>
      <c r="G18" s="215" t="s">
        <v>983</v>
      </c>
      <c r="H18" s="38" t="s">
        <v>15</v>
      </c>
      <c r="I18" s="38" t="s">
        <v>839</v>
      </c>
      <c r="J18" s="173">
        <f t="shared" si="0"/>
        <v>46259</v>
      </c>
    </row>
    <row r="19" spans="1:10" ht="26" x14ac:dyDescent="0.35">
      <c r="A19" s="28" t="s">
        <v>508</v>
      </c>
      <c r="B19" s="40" t="s">
        <v>653</v>
      </c>
      <c r="C19" s="40" t="s">
        <v>654</v>
      </c>
      <c r="D19" s="216">
        <f>(('📄 INCOME_STATEMENT'!D44/'📄 INCOME_STATEMENT'!B44)^(1/2)-1)-'📈 RATIOS_PROFITABILITY'!E16</f>
        <v>0</v>
      </c>
      <c r="E19" s="24" t="s">
        <v>507</v>
      </c>
      <c r="F19" s="30" t="str">
        <f>IF(ABS(D19)&lt;=0.0001,"PASS","REVIEW")</f>
        <v>PASS</v>
      </c>
      <c r="G19" s="215" t="s">
        <v>624</v>
      </c>
      <c r="H19" s="38" t="s">
        <v>15</v>
      </c>
      <c r="I19" s="38" t="s">
        <v>840</v>
      </c>
      <c r="J19" s="173">
        <f t="shared" si="0"/>
        <v>46259</v>
      </c>
    </row>
    <row r="20" spans="1:10" ht="26" x14ac:dyDescent="0.35">
      <c r="A20" s="28" t="s">
        <v>509</v>
      </c>
      <c r="B20" s="40" t="s">
        <v>829</v>
      </c>
      <c r="C20" s="40" t="s">
        <v>526</v>
      </c>
      <c r="D20" s="216">
        <f>ABS('📈 RATIOS_CAPITAL'!E8-'📊 EXECUTIVE_SUMMARY'!D29)</f>
        <v>0</v>
      </c>
      <c r="E20" s="24" t="s">
        <v>507</v>
      </c>
      <c r="F20" s="30" t="str">
        <f>IF(ABS(D20)&lt;=0.0001,"PASS","REVIEW")</f>
        <v>PASS</v>
      </c>
      <c r="G20" s="215" t="s">
        <v>984</v>
      </c>
      <c r="H20" s="38" t="s">
        <v>15</v>
      </c>
      <c r="I20" s="38" t="s">
        <v>839</v>
      </c>
      <c r="J20" s="173">
        <f t="shared" si="0"/>
        <v>46259</v>
      </c>
    </row>
    <row r="21" spans="1:10" ht="26" x14ac:dyDescent="0.35">
      <c r="A21" s="28" t="s">
        <v>510</v>
      </c>
      <c r="B21" s="40" t="s">
        <v>511</v>
      </c>
      <c r="C21" s="40" t="s">
        <v>512</v>
      </c>
      <c r="D21" s="216">
        <f>MIN('📈 RATIOS_LIQUIDITY'!C8:E8)-100%</f>
        <v>0.29000000000000004</v>
      </c>
      <c r="E21" s="24" t="s">
        <v>513</v>
      </c>
      <c r="F21" s="30" t="str">
        <f t="shared" ref="F21:F25" si="1">IF(D21&gt;0,"PASS","REVIEW")</f>
        <v>PASS</v>
      </c>
      <c r="G21" s="215" t="s">
        <v>625</v>
      </c>
      <c r="H21" s="38" t="s">
        <v>15</v>
      </c>
      <c r="I21" s="38" t="s">
        <v>841</v>
      </c>
      <c r="J21" s="173">
        <f t="shared" si="0"/>
        <v>46259</v>
      </c>
    </row>
    <row r="22" spans="1:10" ht="26" x14ac:dyDescent="0.35">
      <c r="A22" s="28" t="s">
        <v>514</v>
      </c>
      <c r="B22" s="40" t="s">
        <v>515</v>
      </c>
      <c r="C22" s="40" t="s">
        <v>516</v>
      </c>
      <c r="D22" s="216">
        <f>MIN('📈 RATIOS_LIQUIDITY'!C9:E9)-100%</f>
        <v>0.11749999999999994</v>
      </c>
      <c r="E22" s="24" t="s">
        <v>513</v>
      </c>
      <c r="F22" s="30" t="str">
        <f t="shared" si="1"/>
        <v>PASS</v>
      </c>
      <c r="G22" s="215" t="s">
        <v>626</v>
      </c>
      <c r="H22" s="38" t="s">
        <v>15</v>
      </c>
      <c r="I22" s="38" t="s">
        <v>841</v>
      </c>
      <c r="J22" s="173">
        <f t="shared" si="0"/>
        <v>46259</v>
      </c>
    </row>
    <row r="23" spans="1:10" ht="26" x14ac:dyDescent="0.35">
      <c r="A23" s="28" t="s">
        <v>517</v>
      </c>
      <c r="B23" s="40" t="s">
        <v>518</v>
      </c>
      <c r="C23" s="40" t="s">
        <v>519</v>
      </c>
      <c r="D23" s="216">
        <f>100%-MAX('📈 RATIOS_LIQUIDITY'!C11:E11)</f>
        <v>0.13017837247078579</v>
      </c>
      <c r="E23" s="24" t="s">
        <v>436</v>
      </c>
      <c r="F23" s="30" t="str">
        <f t="shared" si="1"/>
        <v>PASS</v>
      </c>
      <c r="G23" s="215" t="s">
        <v>627</v>
      </c>
      <c r="H23" s="38" t="s">
        <v>15</v>
      </c>
      <c r="I23" s="38" t="s">
        <v>842</v>
      </c>
      <c r="J23" s="173">
        <f t="shared" si="0"/>
        <v>46259</v>
      </c>
    </row>
    <row r="24" spans="1:10" ht="26" x14ac:dyDescent="0.35">
      <c r="A24" s="28" t="s">
        <v>520</v>
      </c>
      <c r="B24" s="40" t="s">
        <v>521</v>
      </c>
      <c r="C24" s="40" t="s">
        <v>522</v>
      </c>
      <c r="D24" s="216">
        <f>2.3%-MAX('📈 RATIOS_ASSET_QUALITY'!C8:E8)</f>
        <v>5.9999999999999984E-3</v>
      </c>
      <c r="E24" s="24" t="s">
        <v>436</v>
      </c>
      <c r="F24" s="30" t="str">
        <f t="shared" si="1"/>
        <v>PASS</v>
      </c>
      <c r="G24" s="215" t="s">
        <v>628</v>
      </c>
      <c r="H24" s="38" t="s">
        <v>15</v>
      </c>
      <c r="I24" s="38" t="s">
        <v>843</v>
      </c>
      <c r="J24" s="173">
        <f t="shared" si="0"/>
        <v>46259</v>
      </c>
    </row>
    <row r="25" spans="1:10" ht="26" x14ac:dyDescent="0.35">
      <c r="A25" s="28" t="s">
        <v>523</v>
      </c>
      <c r="B25" s="40" t="s">
        <v>877</v>
      </c>
      <c r="C25" s="40" t="s">
        <v>878</v>
      </c>
      <c r="D25" s="216">
        <f>66%-'📈 RATIOS_EFFICIENCY'!E8</f>
        <v>4.1683766459830851E-2</v>
      </c>
      <c r="E25" s="24" t="s">
        <v>436</v>
      </c>
      <c r="F25" s="30" t="str">
        <f t="shared" si="1"/>
        <v>PASS</v>
      </c>
      <c r="G25" s="215" t="s">
        <v>629</v>
      </c>
      <c r="H25" s="38" t="s">
        <v>15</v>
      </c>
      <c r="I25" s="38" t="s">
        <v>791</v>
      </c>
      <c r="J25" s="173">
        <f t="shared" si="0"/>
        <v>46259</v>
      </c>
    </row>
    <row r="26" spans="1:10" ht="26" x14ac:dyDescent="0.35">
      <c r="A26" s="28" t="s">
        <v>524</v>
      </c>
      <c r="B26" s="40" t="s">
        <v>525</v>
      </c>
      <c r="C26" s="40" t="s">
        <v>526</v>
      </c>
      <c r="D26" s="53">
        <f>MAX(ABS(🔗CHART_SOURCE!B7-'📄 INCOME_STATEMENT'!B15),ABS(🔗CHART_SOURCE!C7-'📄 INCOME_STATEMENT'!C15),ABS(🔗CHART_SOURCE!D7-'📄 INCOME_STATEMENT'!D15))</f>
        <v>0</v>
      </c>
      <c r="E26" s="24" t="s">
        <v>497</v>
      </c>
      <c r="F26" s="30" t="str">
        <f>IF(ABS(D26)&lt;=1,"PASS","REVIEW")</f>
        <v>PASS</v>
      </c>
      <c r="G26" s="215" t="s">
        <v>630</v>
      </c>
      <c r="H26" s="38" t="s">
        <v>15</v>
      </c>
      <c r="I26" s="38" t="s">
        <v>844</v>
      </c>
      <c r="J26" s="173">
        <f t="shared" si="0"/>
        <v>46259</v>
      </c>
    </row>
    <row r="27" spans="1:10" ht="26" x14ac:dyDescent="0.35">
      <c r="A27" s="28" t="s">
        <v>527</v>
      </c>
      <c r="B27" s="38" t="s">
        <v>528</v>
      </c>
      <c r="C27" s="38" t="s">
        <v>526</v>
      </c>
      <c r="D27" s="38">
        <f>MAX(ABS(🔗CHART_SOURCE!B22-'📈 RATIOS_ASSET_QUALITY'!C8),ABS(🔗CHART_SOURCE!C22-'📈 RATIOS_ASSET_QUALITY'!D8),ABS(🔗CHART_SOURCE!D22-'📈 RATIOS_ASSET_QUALITY'!E8))</f>
        <v>0</v>
      </c>
      <c r="E27" s="38" t="s">
        <v>529</v>
      </c>
      <c r="F27" s="62" t="str">
        <f>IF(ABS(D27)&lt;=0.0001,"PASS","REVIEW")</f>
        <v>PASS</v>
      </c>
      <c r="G27" s="215" t="s">
        <v>631</v>
      </c>
      <c r="H27" s="38" t="s">
        <v>15</v>
      </c>
      <c r="I27" s="38" t="s">
        <v>844</v>
      </c>
      <c r="J27" s="173">
        <f t="shared" si="0"/>
        <v>46259</v>
      </c>
    </row>
    <row r="28" spans="1:10" ht="39" x14ac:dyDescent="0.35">
      <c r="A28" s="28" t="s">
        <v>880</v>
      </c>
      <c r="B28" s="38" t="s">
        <v>881</v>
      </c>
      <c r="C28" s="38" t="s">
        <v>882</v>
      </c>
      <c r="D28" s="38">
        <f>COUNTBLANK(SOURCE_REGISTER!A7:I117)</f>
        <v>0</v>
      </c>
      <c r="E28" s="38" t="s">
        <v>889</v>
      </c>
      <c r="F28" s="136" t="str">
        <f>IF(D28=0,"PASS","REVIEW")</f>
        <v>PASS</v>
      </c>
      <c r="G28" s="215" t="s">
        <v>1198</v>
      </c>
      <c r="H28" s="38" t="s">
        <v>15</v>
      </c>
      <c r="I28" s="38" t="s">
        <v>893</v>
      </c>
      <c r="J28" s="173">
        <f>DATE(2026,8,25)</f>
        <v>46259</v>
      </c>
    </row>
    <row r="29" spans="1:10" ht="26" x14ac:dyDescent="0.35">
      <c r="A29" s="28" t="s">
        <v>883</v>
      </c>
      <c r="B29" s="38" t="s">
        <v>884</v>
      </c>
      <c r="C29" s="38" t="s">
        <v>885</v>
      </c>
      <c r="D29" s="38">
        <f>MIN(COUNTA(RATIO_DICTIONARY!A7:A18)-12,COUNTA(DATA_DICTIONARY!A7:A19)-8)</f>
        <v>0</v>
      </c>
      <c r="E29" s="38" t="s">
        <v>890</v>
      </c>
      <c r="F29" s="136" t="str">
        <f>IF(D29&gt;=0,"PASS","REVIEW")</f>
        <v>PASS</v>
      </c>
      <c r="G29" s="215" t="s">
        <v>891</v>
      </c>
      <c r="H29" s="38" t="s">
        <v>15</v>
      </c>
      <c r="I29" s="38" t="s">
        <v>894</v>
      </c>
      <c r="J29" s="173">
        <f t="shared" ref="J29:J30" si="2">DATE(2026,8,25)</f>
        <v>46259</v>
      </c>
    </row>
    <row r="30" spans="1:10" ht="26" x14ac:dyDescent="0.35">
      <c r="A30" s="28" t="s">
        <v>886</v>
      </c>
      <c r="B30" s="38" t="s">
        <v>887</v>
      </c>
      <c r="C30" s="38" t="s">
        <v>888</v>
      </c>
      <c r="D30" s="38">
        <f>COUNTBLANK(IFRS17_RESTATEMENT_NOTE!D7:E10)</f>
        <v>0</v>
      </c>
      <c r="E30" s="38" t="s">
        <v>889</v>
      </c>
      <c r="F30" s="136" t="str">
        <f>IF(D30=0,"PASS","REVIEW")</f>
        <v>PASS</v>
      </c>
      <c r="G30" s="215" t="s">
        <v>892</v>
      </c>
      <c r="H30" s="38" t="s">
        <v>15</v>
      </c>
      <c r="I30" s="38" t="s">
        <v>895</v>
      </c>
      <c r="J30" s="173">
        <f t="shared" si="2"/>
        <v>46259</v>
      </c>
    </row>
    <row r="31" spans="1:10" x14ac:dyDescent="0.35">
      <c r="A31" s="12"/>
      <c r="B31" s="12"/>
      <c r="C31" s="12"/>
      <c r="D31" s="12"/>
      <c r="E31" s="12"/>
      <c r="F31" s="12"/>
      <c r="G31" s="12"/>
    </row>
    <row r="32" spans="1:10" x14ac:dyDescent="0.35">
      <c r="A32" s="12"/>
      <c r="B32" s="12"/>
      <c r="C32" s="12"/>
      <c r="D32" s="12"/>
      <c r="E32" s="12"/>
      <c r="F32" s="12"/>
      <c r="G32" s="12"/>
    </row>
    <row r="33" spans="1:10" ht="16" x14ac:dyDescent="0.35">
      <c r="A33" s="294" t="s">
        <v>530</v>
      </c>
      <c r="B33" s="294"/>
      <c r="C33" s="294"/>
      <c r="D33" s="294"/>
      <c r="E33" s="294"/>
      <c r="F33" s="294"/>
      <c r="G33" s="294"/>
      <c r="H33" s="294"/>
      <c r="I33" s="294"/>
      <c r="J33" s="294"/>
    </row>
    <row r="34" spans="1:10" ht="26" x14ac:dyDescent="0.35">
      <c r="A34" s="17" t="s">
        <v>531</v>
      </c>
      <c r="B34" s="17" t="s">
        <v>532</v>
      </c>
      <c r="C34" s="17" t="s">
        <v>533</v>
      </c>
      <c r="D34" s="161" t="s">
        <v>534</v>
      </c>
      <c r="E34" s="12"/>
      <c r="F34" s="12"/>
      <c r="G34" s="12"/>
    </row>
    <row r="35" spans="1:10" x14ac:dyDescent="0.35">
      <c r="A35" s="367">
        <f>COUNTIF(F8:F30,"PASS")</f>
        <v>23</v>
      </c>
      <c r="B35" s="367">
        <f>COUNTIF(F8:F30,"REVIEW")</f>
        <v>0</v>
      </c>
      <c r="C35" s="367">
        <f>COUNTA(A8:A30)</f>
        <v>23</v>
      </c>
      <c r="D35" s="31" t="str">
        <f>IF(B35=0,"READY","REVIEW REQUIRED")</f>
        <v>READY</v>
      </c>
      <c r="E35" s="12"/>
      <c r="F35" s="12"/>
      <c r="G35" s="12"/>
    </row>
    <row r="36" spans="1:10" x14ac:dyDescent="0.35">
      <c r="A36" s="12"/>
      <c r="B36" s="12"/>
      <c r="C36" s="12"/>
      <c r="D36" s="12"/>
      <c r="E36" s="12"/>
      <c r="F36" s="12"/>
      <c r="G36" s="12"/>
    </row>
    <row r="37" spans="1:10" x14ac:dyDescent="0.35">
      <c r="A37" s="12"/>
      <c r="B37" s="12"/>
      <c r="C37" s="12"/>
      <c r="D37" s="12"/>
      <c r="E37" s="12"/>
      <c r="F37" s="12"/>
      <c r="G37" s="12"/>
    </row>
    <row r="38" spans="1:10" ht="16" x14ac:dyDescent="0.35">
      <c r="A38" s="294" t="s">
        <v>535</v>
      </c>
      <c r="B38" s="294"/>
      <c r="C38" s="294"/>
      <c r="D38" s="294"/>
      <c r="E38" s="294"/>
      <c r="F38" s="294"/>
      <c r="G38" s="294"/>
      <c r="H38" s="294"/>
      <c r="I38" s="294"/>
      <c r="J38" s="294"/>
    </row>
    <row r="39" spans="1:10" ht="39" x14ac:dyDescent="0.35">
      <c r="A39" s="17" t="s">
        <v>536</v>
      </c>
      <c r="B39" s="17" t="s">
        <v>537</v>
      </c>
      <c r="C39" s="17" t="s">
        <v>538</v>
      </c>
      <c r="D39" s="161" t="s">
        <v>539</v>
      </c>
      <c r="E39" s="12"/>
      <c r="F39" s="12"/>
      <c r="G39" s="12"/>
    </row>
    <row r="40" spans="1:10" ht="39" x14ac:dyDescent="0.35">
      <c r="A40" s="218" t="s">
        <v>540</v>
      </c>
      <c r="B40" s="38" t="s">
        <v>541</v>
      </c>
      <c r="C40" s="38" t="s">
        <v>542</v>
      </c>
      <c r="D40" s="38" t="s">
        <v>192</v>
      </c>
      <c r="E40" s="12"/>
      <c r="F40" s="12"/>
      <c r="G40" s="12"/>
    </row>
    <row r="41" spans="1:10" ht="39" x14ac:dyDescent="0.35">
      <c r="A41" s="219" t="s">
        <v>543</v>
      </c>
      <c r="B41" s="40" t="s">
        <v>544</v>
      </c>
      <c r="C41" s="40" t="s">
        <v>542</v>
      </c>
      <c r="D41" s="40" t="s">
        <v>192</v>
      </c>
      <c r="E41" s="12"/>
      <c r="F41" s="12"/>
      <c r="G41" s="12"/>
    </row>
    <row r="42" spans="1:10" ht="39" x14ac:dyDescent="0.35">
      <c r="A42" s="219" t="s">
        <v>545</v>
      </c>
      <c r="B42" s="40" t="s">
        <v>546</v>
      </c>
      <c r="C42" s="40" t="s">
        <v>542</v>
      </c>
      <c r="D42" s="40" t="s">
        <v>192</v>
      </c>
      <c r="E42" s="12"/>
      <c r="F42" s="12"/>
      <c r="G42" s="12"/>
    </row>
    <row r="43" spans="1:10" ht="39" x14ac:dyDescent="0.35">
      <c r="A43" s="219" t="s">
        <v>632</v>
      </c>
      <c r="B43" s="40" t="s">
        <v>547</v>
      </c>
      <c r="C43" s="40" t="s">
        <v>548</v>
      </c>
      <c r="D43" s="40" t="s">
        <v>193</v>
      </c>
      <c r="E43" s="12"/>
      <c r="F43" s="12"/>
      <c r="G43" s="12"/>
    </row>
    <row r="44" spans="1:10" ht="39" x14ac:dyDescent="0.35">
      <c r="A44" s="26" t="s">
        <v>633</v>
      </c>
      <c r="B44" s="40" t="s">
        <v>547</v>
      </c>
      <c r="C44" s="40" t="s">
        <v>549</v>
      </c>
      <c r="D44" s="40" t="s">
        <v>194</v>
      </c>
      <c r="E44" s="12"/>
      <c r="F44" s="12"/>
      <c r="G44" s="12"/>
    </row>
    <row r="45" spans="1:10" ht="52" x14ac:dyDescent="0.35">
      <c r="A45" s="219" t="s">
        <v>550</v>
      </c>
      <c r="B45" s="40" t="s">
        <v>551</v>
      </c>
      <c r="C45" s="40" t="s">
        <v>552</v>
      </c>
      <c r="D45" s="40" t="s">
        <v>196</v>
      </c>
      <c r="E45" s="12"/>
      <c r="F45" s="12"/>
      <c r="G45" s="12"/>
    </row>
    <row r="46" spans="1:10" ht="39" x14ac:dyDescent="0.35">
      <c r="A46" s="219" t="s">
        <v>553</v>
      </c>
      <c r="B46" s="40" t="s">
        <v>554</v>
      </c>
      <c r="C46" s="40" t="s">
        <v>555</v>
      </c>
      <c r="D46" s="40" t="s">
        <v>198</v>
      </c>
      <c r="E46" s="12"/>
      <c r="F46" s="12"/>
      <c r="G46" s="12"/>
    </row>
    <row r="47" spans="1:10" ht="39" x14ac:dyDescent="0.35">
      <c r="A47" s="26" t="s">
        <v>556</v>
      </c>
      <c r="B47" s="40" t="s">
        <v>557</v>
      </c>
      <c r="C47" s="40" t="s">
        <v>558</v>
      </c>
      <c r="D47" s="40" t="s">
        <v>197</v>
      </c>
      <c r="E47" s="12"/>
      <c r="F47" s="12"/>
      <c r="G47" s="12"/>
    </row>
    <row r="48" spans="1:10" ht="52" x14ac:dyDescent="0.35">
      <c r="A48" s="219" t="s">
        <v>559</v>
      </c>
      <c r="B48" s="40" t="s">
        <v>557</v>
      </c>
      <c r="C48" s="40" t="s">
        <v>560</v>
      </c>
      <c r="D48" s="40" t="s">
        <v>199</v>
      </c>
      <c r="E48" s="12"/>
      <c r="F48" s="12"/>
      <c r="G48" s="12"/>
    </row>
    <row r="49" spans="1:7" ht="39" x14ac:dyDescent="0.35">
      <c r="A49" s="219" t="s">
        <v>561</v>
      </c>
      <c r="B49" s="40" t="s">
        <v>551</v>
      </c>
      <c r="C49" s="40" t="s">
        <v>562</v>
      </c>
      <c r="D49" s="40" t="s">
        <v>200</v>
      </c>
      <c r="E49" s="12"/>
      <c r="F49" s="12"/>
      <c r="G49" s="12"/>
    </row>
    <row r="50" spans="1:7" ht="39" x14ac:dyDescent="0.35">
      <c r="A50" s="220" t="s">
        <v>634</v>
      </c>
      <c r="B50" s="44" t="s">
        <v>563</v>
      </c>
      <c r="C50" s="44" t="s">
        <v>564</v>
      </c>
      <c r="D50" s="44" t="s">
        <v>473</v>
      </c>
      <c r="E50" s="12"/>
      <c r="F50" s="12"/>
      <c r="G50" s="12"/>
    </row>
  </sheetData>
  <mergeCells count="7">
    <mergeCell ref="A33:J33"/>
    <mergeCell ref="A38:J38"/>
    <mergeCell ref="A1:J1"/>
    <mergeCell ref="A2:J2"/>
    <mergeCell ref="A3:J3"/>
    <mergeCell ref="A4:J4"/>
    <mergeCell ref="A6:J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D4B44-57CA-41D4-B87A-C186035D0819}">
  <sheetPr>
    <tabColor rgb="FF2F75B5"/>
  </sheetPr>
  <dimension ref="A1:I117"/>
  <sheetViews>
    <sheetView showGridLines="0" topLeftCell="E1" workbookViewId="0">
      <selection activeCell="D6" sqref="D6"/>
    </sheetView>
  </sheetViews>
  <sheetFormatPr defaultRowHeight="14.5" x14ac:dyDescent="0.35"/>
  <cols>
    <col min="1" max="1" width="30.26953125" bestFit="1" customWidth="1"/>
    <col min="2" max="2" width="35.08984375" bestFit="1" customWidth="1"/>
    <col min="3" max="3" width="6.81640625" bestFit="1" customWidth="1"/>
    <col min="4" max="4" width="18.08984375" customWidth="1"/>
    <col min="5" max="5" width="30.6328125" bestFit="1" customWidth="1"/>
    <col min="6" max="6" width="27.26953125" customWidth="1"/>
    <col min="7" max="7" width="15.453125" bestFit="1" customWidth="1"/>
    <col min="8" max="8" width="43.36328125" bestFit="1" customWidth="1"/>
    <col min="9" max="9" width="30.90625" bestFit="1" customWidth="1"/>
  </cols>
  <sheetData>
    <row r="1" spans="1:9" ht="23.5" x14ac:dyDescent="0.55000000000000004">
      <c r="A1" s="249" t="s">
        <v>655</v>
      </c>
      <c r="B1" s="249"/>
      <c r="C1" s="249"/>
      <c r="D1" s="249"/>
      <c r="E1" s="249"/>
      <c r="F1" s="249"/>
      <c r="G1" s="249"/>
      <c r="H1" s="249"/>
      <c r="I1" s="249"/>
    </row>
    <row r="2" spans="1:9" x14ac:dyDescent="0.35">
      <c r="A2" s="250" t="s">
        <v>656</v>
      </c>
      <c r="B2" s="250"/>
      <c r="C2" s="250"/>
      <c r="D2" s="250"/>
      <c r="E2" s="250"/>
      <c r="F2" s="250"/>
      <c r="G2" s="250"/>
      <c r="H2" s="250"/>
      <c r="I2" s="250"/>
    </row>
    <row r="4" spans="1:9" x14ac:dyDescent="0.35">
      <c r="A4" s="251" t="s">
        <v>861</v>
      </c>
      <c r="B4" s="251"/>
      <c r="C4" s="251"/>
      <c r="D4" s="251"/>
      <c r="E4" s="251"/>
      <c r="F4" s="251"/>
      <c r="G4" s="251"/>
      <c r="H4" s="251"/>
      <c r="I4" s="251"/>
    </row>
    <row r="6" spans="1:9" ht="29" x14ac:dyDescent="0.35">
      <c r="A6" t="s">
        <v>672</v>
      </c>
      <c r="B6" t="s">
        <v>673</v>
      </c>
      <c r="C6" t="s">
        <v>674</v>
      </c>
      <c r="D6" s="240" t="s">
        <v>898</v>
      </c>
      <c r="E6" t="s">
        <v>675</v>
      </c>
      <c r="F6" t="s">
        <v>676</v>
      </c>
      <c r="G6" t="s">
        <v>677</v>
      </c>
      <c r="H6" t="s">
        <v>862</v>
      </c>
      <c r="I6" t="s">
        <v>863</v>
      </c>
    </row>
    <row r="7" spans="1:9" ht="43.5" x14ac:dyDescent="0.35">
      <c r="A7" s="240" t="s">
        <v>1029</v>
      </c>
      <c r="B7" s="240" t="s">
        <v>1030</v>
      </c>
      <c r="C7" s="354">
        <v>2022</v>
      </c>
      <c r="D7" s="240" t="s">
        <v>1031</v>
      </c>
      <c r="E7" s="240" t="s">
        <v>1032</v>
      </c>
      <c r="F7" s="240" t="s">
        <v>682</v>
      </c>
      <c r="G7" s="240" t="s">
        <v>1033</v>
      </c>
      <c r="H7" s="240" t="s">
        <v>1034</v>
      </c>
      <c r="I7" s="240" t="s">
        <v>1035</v>
      </c>
    </row>
    <row r="8" spans="1:9" ht="43.5" x14ac:dyDescent="0.35">
      <c r="A8" s="240" t="s">
        <v>1036</v>
      </c>
      <c r="B8" s="240" t="s">
        <v>1030</v>
      </c>
      <c r="C8" s="354">
        <v>2022</v>
      </c>
      <c r="D8" s="240" t="s">
        <v>1031</v>
      </c>
      <c r="E8" s="240" t="s">
        <v>1037</v>
      </c>
      <c r="F8" s="240" t="s">
        <v>682</v>
      </c>
      <c r="G8" s="240" t="s">
        <v>1038</v>
      </c>
      <c r="H8" s="240" t="s">
        <v>1034</v>
      </c>
      <c r="I8" s="240" t="s">
        <v>1035</v>
      </c>
    </row>
    <row r="9" spans="1:9" ht="43.5" x14ac:dyDescent="0.35">
      <c r="A9" s="240" t="s">
        <v>1039</v>
      </c>
      <c r="B9" s="240" t="s">
        <v>1030</v>
      </c>
      <c r="C9" s="354">
        <v>2022</v>
      </c>
      <c r="D9" s="240" t="s">
        <v>1031</v>
      </c>
      <c r="E9" s="240" t="s">
        <v>1032</v>
      </c>
      <c r="F9" s="240" t="s">
        <v>682</v>
      </c>
      <c r="G9" s="240" t="s">
        <v>1040</v>
      </c>
      <c r="H9" s="240" t="s">
        <v>1034</v>
      </c>
      <c r="I9" s="240" t="s">
        <v>1035</v>
      </c>
    </row>
    <row r="10" spans="1:9" ht="43.5" x14ac:dyDescent="0.35">
      <c r="A10" s="240" t="s">
        <v>1041</v>
      </c>
      <c r="B10" s="240" t="s">
        <v>1030</v>
      </c>
      <c r="C10" s="354">
        <v>2022</v>
      </c>
      <c r="D10" s="240" t="s">
        <v>1031</v>
      </c>
      <c r="E10" s="240" t="s">
        <v>1037</v>
      </c>
      <c r="F10" s="240" t="s">
        <v>192</v>
      </c>
      <c r="G10" s="240" t="s">
        <v>1042</v>
      </c>
      <c r="H10" s="240" t="s">
        <v>1034</v>
      </c>
      <c r="I10" s="240" t="s">
        <v>1035</v>
      </c>
    </row>
    <row r="11" spans="1:9" ht="43.5" x14ac:dyDescent="0.35">
      <c r="A11" s="240" t="s">
        <v>1043</v>
      </c>
      <c r="B11" s="240" t="s">
        <v>1030</v>
      </c>
      <c r="C11" s="354">
        <v>2022</v>
      </c>
      <c r="D11" s="240" t="s">
        <v>1031</v>
      </c>
      <c r="E11" s="240" t="s">
        <v>1032</v>
      </c>
      <c r="F11" s="240" t="s">
        <v>682</v>
      </c>
      <c r="G11" s="240" t="s">
        <v>1044</v>
      </c>
      <c r="H11" s="240" t="s">
        <v>1034</v>
      </c>
      <c r="I11" s="240" t="s">
        <v>1035</v>
      </c>
    </row>
    <row r="12" spans="1:9" ht="43.5" x14ac:dyDescent="0.35">
      <c r="A12" s="240" t="s">
        <v>1045</v>
      </c>
      <c r="B12" s="240" t="s">
        <v>1030</v>
      </c>
      <c r="C12" s="354">
        <v>2022</v>
      </c>
      <c r="D12" s="240" t="s">
        <v>1031</v>
      </c>
      <c r="E12" s="240" t="s">
        <v>1037</v>
      </c>
      <c r="F12" s="240" t="s">
        <v>192</v>
      </c>
      <c r="G12" s="240" t="s">
        <v>1046</v>
      </c>
      <c r="H12" s="240" t="s">
        <v>1034</v>
      </c>
      <c r="I12" s="240" t="s">
        <v>1035</v>
      </c>
    </row>
    <row r="13" spans="1:9" ht="43.5" x14ac:dyDescent="0.35">
      <c r="A13" s="240" t="s">
        <v>168</v>
      </c>
      <c r="B13" s="240" t="s">
        <v>1047</v>
      </c>
      <c r="C13" s="354">
        <v>2022</v>
      </c>
      <c r="D13" s="240" t="s">
        <v>1048</v>
      </c>
      <c r="E13" s="240" t="s">
        <v>1049</v>
      </c>
      <c r="F13" s="240" t="s">
        <v>192</v>
      </c>
      <c r="G13" s="240" t="s">
        <v>1044</v>
      </c>
      <c r="H13" s="240" t="s">
        <v>1034</v>
      </c>
      <c r="I13" s="240" t="s">
        <v>1050</v>
      </c>
    </row>
    <row r="14" spans="1:9" ht="43.5" x14ac:dyDescent="0.35">
      <c r="A14" s="240" t="s">
        <v>168</v>
      </c>
      <c r="B14" s="240" t="s">
        <v>1051</v>
      </c>
      <c r="C14" s="354">
        <v>2023</v>
      </c>
      <c r="D14" s="240" t="s">
        <v>1049</v>
      </c>
      <c r="E14" s="240" t="s">
        <v>1049</v>
      </c>
      <c r="F14" s="240" t="s">
        <v>192</v>
      </c>
      <c r="G14" s="240" t="s">
        <v>1052</v>
      </c>
      <c r="H14" s="240" t="s">
        <v>1053</v>
      </c>
      <c r="I14" s="240" t="s">
        <v>1050</v>
      </c>
    </row>
    <row r="15" spans="1:9" ht="29" x14ac:dyDescent="0.35">
      <c r="A15" s="240" t="s">
        <v>168</v>
      </c>
      <c r="B15" s="240" t="s">
        <v>1054</v>
      </c>
      <c r="C15" s="354">
        <v>2024</v>
      </c>
      <c r="D15" s="240" t="s">
        <v>1049</v>
      </c>
      <c r="E15" s="240" t="s">
        <v>1049</v>
      </c>
      <c r="F15" s="240" t="s">
        <v>192</v>
      </c>
      <c r="G15" s="240" t="s">
        <v>1055</v>
      </c>
      <c r="H15" s="240" t="s">
        <v>865</v>
      </c>
      <c r="I15" s="240" t="s">
        <v>1050</v>
      </c>
    </row>
    <row r="16" spans="1:9" ht="43.5" x14ac:dyDescent="0.35">
      <c r="A16" s="240" t="s">
        <v>649</v>
      </c>
      <c r="B16" s="240" t="s">
        <v>1047</v>
      </c>
      <c r="C16" s="354">
        <v>2022</v>
      </c>
      <c r="D16" s="240" t="s">
        <v>1048</v>
      </c>
      <c r="E16" s="240" t="s">
        <v>1049</v>
      </c>
      <c r="F16" s="240" t="s">
        <v>192</v>
      </c>
      <c r="G16" s="240" t="s">
        <v>1056</v>
      </c>
      <c r="H16" s="240" t="s">
        <v>1034</v>
      </c>
      <c r="I16" s="240" t="s">
        <v>1050</v>
      </c>
    </row>
    <row r="17" spans="1:9" ht="43.5" x14ac:dyDescent="0.35">
      <c r="A17" s="240" t="s">
        <v>649</v>
      </c>
      <c r="B17" s="240" t="s">
        <v>1051</v>
      </c>
      <c r="C17" s="354">
        <v>2023</v>
      </c>
      <c r="D17" s="240" t="s">
        <v>1049</v>
      </c>
      <c r="E17" s="240" t="s">
        <v>1049</v>
      </c>
      <c r="F17" s="240" t="s">
        <v>192</v>
      </c>
      <c r="G17" s="240" t="s">
        <v>1057</v>
      </c>
      <c r="H17" s="240" t="s">
        <v>1053</v>
      </c>
      <c r="I17" s="240" t="s">
        <v>1050</v>
      </c>
    </row>
    <row r="18" spans="1:9" ht="29" x14ac:dyDescent="0.35">
      <c r="A18" s="240" t="s">
        <v>649</v>
      </c>
      <c r="B18" s="240" t="s">
        <v>1054</v>
      </c>
      <c r="C18" s="354">
        <v>2024</v>
      </c>
      <c r="D18" s="240" t="s">
        <v>1049</v>
      </c>
      <c r="E18" s="240" t="s">
        <v>1049</v>
      </c>
      <c r="F18" s="240" t="s">
        <v>192</v>
      </c>
      <c r="G18" s="240" t="s">
        <v>1058</v>
      </c>
      <c r="H18" s="240" t="s">
        <v>865</v>
      </c>
      <c r="I18" s="240" t="s">
        <v>1050</v>
      </c>
    </row>
    <row r="19" spans="1:9" ht="43.5" x14ac:dyDescent="0.35">
      <c r="A19" s="240" t="s">
        <v>650</v>
      </c>
      <c r="B19" s="240" t="s">
        <v>1047</v>
      </c>
      <c r="C19" s="354">
        <v>2022</v>
      </c>
      <c r="D19" s="240" t="s">
        <v>1048</v>
      </c>
      <c r="E19" s="240" t="s">
        <v>1049</v>
      </c>
      <c r="F19" s="240" t="s">
        <v>192</v>
      </c>
      <c r="G19" s="240" t="s">
        <v>1059</v>
      </c>
      <c r="H19" s="240" t="s">
        <v>1034</v>
      </c>
      <c r="I19" s="240" t="s">
        <v>1050</v>
      </c>
    </row>
    <row r="20" spans="1:9" ht="43.5" x14ac:dyDescent="0.35">
      <c r="A20" s="240" t="s">
        <v>650</v>
      </c>
      <c r="B20" s="240" t="s">
        <v>1051</v>
      </c>
      <c r="C20" s="354">
        <v>2023</v>
      </c>
      <c r="D20" s="240" t="s">
        <v>1049</v>
      </c>
      <c r="E20" s="240" t="s">
        <v>1049</v>
      </c>
      <c r="F20" s="240" t="s">
        <v>192</v>
      </c>
      <c r="G20" s="240" t="s">
        <v>1060</v>
      </c>
      <c r="H20" s="240" t="s">
        <v>1053</v>
      </c>
      <c r="I20" s="240" t="s">
        <v>1050</v>
      </c>
    </row>
    <row r="21" spans="1:9" ht="29" x14ac:dyDescent="0.35">
      <c r="A21" s="240" t="s">
        <v>650</v>
      </c>
      <c r="B21" s="240" t="s">
        <v>1054</v>
      </c>
      <c r="C21" s="354">
        <v>2024</v>
      </c>
      <c r="D21" s="240" t="s">
        <v>1049</v>
      </c>
      <c r="E21" s="240" t="s">
        <v>1049</v>
      </c>
      <c r="F21" s="240" t="s">
        <v>192</v>
      </c>
      <c r="G21" s="240" t="s">
        <v>1061</v>
      </c>
      <c r="H21" s="240" t="s">
        <v>865</v>
      </c>
      <c r="I21" s="240" t="s">
        <v>1050</v>
      </c>
    </row>
    <row r="22" spans="1:9" ht="43.5" x14ac:dyDescent="0.35">
      <c r="A22" s="240" t="s">
        <v>56</v>
      </c>
      <c r="B22" s="240" t="s">
        <v>1047</v>
      </c>
      <c r="C22" s="354">
        <v>2022</v>
      </c>
      <c r="D22" s="240" t="s">
        <v>1048</v>
      </c>
      <c r="E22" s="240" t="s">
        <v>1049</v>
      </c>
      <c r="F22" s="240" t="s">
        <v>192</v>
      </c>
      <c r="G22" s="240" t="s">
        <v>1062</v>
      </c>
      <c r="H22" s="240" t="s">
        <v>1034</v>
      </c>
      <c r="I22" s="240" t="s">
        <v>1050</v>
      </c>
    </row>
    <row r="23" spans="1:9" ht="43.5" x14ac:dyDescent="0.35">
      <c r="A23" s="240" t="s">
        <v>56</v>
      </c>
      <c r="B23" s="240" t="s">
        <v>1051</v>
      </c>
      <c r="C23" s="354">
        <v>2023</v>
      </c>
      <c r="D23" s="240" t="s">
        <v>1049</v>
      </c>
      <c r="E23" s="240" t="s">
        <v>1049</v>
      </c>
      <c r="F23" s="240" t="s">
        <v>192</v>
      </c>
      <c r="G23" s="240" t="s">
        <v>1063</v>
      </c>
      <c r="H23" s="240" t="s">
        <v>1053</v>
      </c>
      <c r="I23" s="240" t="s">
        <v>1050</v>
      </c>
    </row>
    <row r="24" spans="1:9" ht="29" x14ac:dyDescent="0.35">
      <c r="A24" s="240" t="s">
        <v>56</v>
      </c>
      <c r="B24" s="240" t="s">
        <v>1054</v>
      </c>
      <c r="C24" s="354">
        <v>2024</v>
      </c>
      <c r="D24" s="240" t="s">
        <v>1049</v>
      </c>
      <c r="E24" s="240" t="s">
        <v>1049</v>
      </c>
      <c r="F24" s="240" t="s">
        <v>192</v>
      </c>
      <c r="G24" s="240" t="s">
        <v>1064</v>
      </c>
      <c r="H24" s="240" t="s">
        <v>865</v>
      </c>
      <c r="I24" s="240" t="s">
        <v>1050</v>
      </c>
    </row>
    <row r="25" spans="1:9" ht="43.5" x14ac:dyDescent="0.35">
      <c r="A25" s="240" t="s">
        <v>678</v>
      </c>
      <c r="B25" s="240" t="s">
        <v>1047</v>
      </c>
      <c r="C25" s="354">
        <v>2022</v>
      </c>
      <c r="D25" s="240" t="s">
        <v>1048</v>
      </c>
      <c r="E25" s="240" t="s">
        <v>1049</v>
      </c>
      <c r="F25" s="240" t="s">
        <v>192</v>
      </c>
      <c r="G25" s="240" t="s">
        <v>1065</v>
      </c>
      <c r="H25" s="240" t="s">
        <v>1034</v>
      </c>
      <c r="I25" s="240" t="s">
        <v>1050</v>
      </c>
    </row>
    <row r="26" spans="1:9" ht="43.5" x14ac:dyDescent="0.35">
      <c r="A26" s="240" t="s">
        <v>678</v>
      </c>
      <c r="B26" s="240" t="s">
        <v>1051</v>
      </c>
      <c r="C26" s="354">
        <v>2023</v>
      </c>
      <c r="D26" s="240" t="s">
        <v>1049</v>
      </c>
      <c r="E26" s="240" t="s">
        <v>1049</v>
      </c>
      <c r="F26" s="240" t="s">
        <v>192</v>
      </c>
      <c r="G26" s="240" t="s">
        <v>1066</v>
      </c>
      <c r="H26" s="240" t="s">
        <v>1053</v>
      </c>
      <c r="I26" s="240" t="s">
        <v>1050</v>
      </c>
    </row>
    <row r="27" spans="1:9" ht="29" x14ac:dyDescent="0.35">
      <c r="A27" s="240" t="s">
        <v>678</v>
      </c>
      <c r="B27" s="240" t="s">
        <v>1054</v>
      </c>
      <c r="C27" s="354">
        <v>2024</v>
      </c>
      <c r="D27" s="240" t="s">
        <v>1049</v>
      </c>
      <c r="E27" s="240" t="s">
        <v>1049</v>
      </c>
      <c r="F27" s="240" t="s">
        <v>192</v>
      </c>
      <c r="G27" s="240" t="s">
        <v>679</v>
      </c>
      <c r="H27" s="240" t="s">
        <v>865</v>
      </c>
      <c r="I27" s="240" t="s">
        <v>1050</v>
      </c>
    </row>
    <row r="28" spans="1:9" ht="43.5" x14ac:dyDescent="0.35">
      <c r="A28" s="240" t="s">
        <v>57</v>
      </c>
      <c r="B28" s="240" t="s">
        <v>1047</v>
      </c>
      <c r="C28" s="354">
        <v>2022</v>
      </c>
      <c r="D28" s="240" t="s">
        <v>1048</v>
      </c>
      <c r="E28" s="240" t="s">
        <v>1049</v>
      </c>
      <c r="F28" s="240" t="s">
        <v>192</v>
      </c>
      <c r="G28" s="240" t="s">
        <v>1067</v>
      </c>
      <c r="H28" s="240" t="s">
        <v>1034</v>
      </c>
      <c r="I28" s="240" t="s">
        <v>1050</v>
      </c>
    </row>
    <row r="29" spans="1:9" ht="43.5" x14ac:dyDescent="0.35">
      <c r="A29" s="240" t="s">
        <v>57</v>
      </c>
      <c r="B29" s="240" t="s">
        <v>1051</v>
      </c>
      <c r="C29" s="354">
        <v>2023</v>
      </c>
      <c r="D29" s="240" t="s">
        <v>1049</v>
      </c>
      <c r="E29" s="240" t="s">
        <v>1049</v>
      </c>
      <c r="F29" s="240" t="s">
        <v>192</v>
      </c>
      <c r="G29" s="240" t="s">
        <v>1068</v>
      </c>
      <c r="H29" s="240" t="s">
        <v>1053</v>
      </c>
      <c r="I29" s="240" t="s">
        <v>1050</v>
      </c>
    </row>
    <row r="30" spans="1:9" ht="29" x14ac:dyDescent="0.35">
      <c r="A30" s="240" t="s">
        <v>57</v>
      </c>
      <c r="B30" s="240" t="s">
        <v>1054</v>
      </c>
      <c r="C30" s="354">
        <v>2024</v>
      </c>
      <c r="D30" s="240" t="s">
        <v>1049</v>
      </c>
      <c r="E30" s="240" t="s">
        <v>1049</v>
      </c>
      <c r="F30" s="240" t="s">
        <v>192</v>
      </c>
      <c r="G30" s="240" t="s">
        <v>1069</v>
      </c>
      <c r="H30" s="240" t="s">
        <v>865</v>
      </c>
      <c r="I30" s="240" t="s">
        <v>1050</v>
      </c>
    </row>
    <row r="31" spans="1:9" ht="43.5" x14ac:dyDescent="0.35">
      <c r="A31" s="240" t="s">
        <v>651</v>
      </c>
      <c r="B31" s="240" t="s">
        <v>1047</v>
      </c>
      <c r="C31" s="354">
        <v>2022</v>
      </c>
      <c r="D31" s="240" t="s">
        <v>1048</v>
      </c>
      <c r="E31" s="240" t="s">
        <v>1049</v>
      </c>
      <c r="F31" s="240" t="s">
        <v>192</v>
      </c>
      <c r="G31" s="240" t="s">
        <v>1070</v>
      </c>
      <c r="H31" s="240" t="s">
        <v>1034</v>
      </c>
      <c r="I31" s="240" t="s">
        <v>1050</v>
      </c>
    </row>
    <row r="32" spans="1:9" ht="43.5" x14ac:dyDescent="0.35">
      <c r="A32" s="240" t="s">
        <v>651</v>
      </c>
      <c r="B32" s="240" t="s">
        <v>1051</v>
      </c>
      <c r="C32" s="354">
        <v>2023</v>
      </c>
      <c r="D32" s="240" t="s">
        <v>1049</v>
      </c>
      <c r="E32" s="240" t="s">
        <v>1049</v>
      </c>
      <c r="F32" s="240" t="s">
        <v>192</v>
      </c>
      <c r="G32" s="240" t="s">
        <v>1071</v>
      </c>
      <c r="H32" s="240" t="s">
        <v>1053</v>
      </c>
      <c r="I32" s="240" t="s">
        <v>1050</v>
      </c>
    </row>
    <row r="33" spans="1:9" ht="29" x14ac:dyDescent="0.35">
      <c r="A33" s="240" t="s">
        <v>651</v>
      </c>
      <c r="B33" s="240" t="s">
        <v>1054</v>
      </c>
      <c r="C33" s="354">
        <v>2024</v>
      </c>
      <c r="D33" s="240" t="s">
        <v>1049</v>
      </c>
      <c r="E33" s="240" t="s">
        <v>1049</v>
      </c>
      <c r="F33" s="240" t="s">
        <v>192</v>
      </c>
      <c r="G33" s="240" t="s">
        <v>1072</v>
      </c>
      <c r="H33" s="240" t="s">
        <v>865</v>
      </c>
      <c r="I33" s="240" t="s">
        <v>1050</v>
      </c>
    </row>
    <row r="34" spans="1:9" ht="43.5" x14ac:dyDescent="0.35">
      <c r="A34" s="240" t="s">
        <v>6</v>
      </c>
      <c r="B34" s="240" t="s">
        <v>1047</v>
      </c>
      <c r="C34" s="354">
        <v>2022</v>
      </c>
      <c r="D34" s="240" t="s">
        <v>1048</v>
      </c>
      <c r="E34" s="240" t="s">
        <v>1049</v>
      </c>
      <c r="F34" s="240" t="s">
        <v>192</v>
      </c>
      <c r="G34" s="240" t="s">
        <v>1046</v>
      </c>
      <c r="H34" s="240" t="s">
        <v>1034</v>
      </c>
      <c r="I34" s="240" t="s">
        <v>1050</v>
      </c>
    </row>
    <row r="35" spans="1:9" ht="43.5" x14ac:dyDescent="0.35">
      <c r="A35" s="240" t="s">
        <v>6</v>
      </c>
      <c r="B35" s="240" t="s">
        <v>1051</v>
      </c>
      <c r="C35" s="354">
        <v>2023</v>
      </c>
      <c r="D35" s="240" t="s">
        <v>1049</v>
      </c>
      <c r="E35" s="240" t="s">
        <v>1049</v>
      </c>
      <c r="F35" s="240" t="s">
        <v>192</v>
      </c>
      <c r="G35" s="240" t="s">
        <v>1073</v>
      </c>
      <c r="H35" s="240" t="s">
        <v>1053</v>
      </c>
      <c r="I35" s="240" t="s">
        <v>1050</v>
      </c>
    </row>
    <row r="36" spans="1:9" ht="29" x14ac:dyDescent="0.35">
      <c r="A36" s="240" t="s">
        <v>6</v>
      </c>
      <c r="B36" s="240" t="s">
        <v>1054</v>
      </c>
      <c r="C36" s="354">
        <v>2024</v>
      </c>
      <c r="D36" s="240" t="s">
        <v>1049</v>
      </c>
      <c r="E36" s="240" t="s">
        <v>1049</v>
      </c>
      <c r="F36" s="240" t="s">
        <v>192</v>
      </c>
      <c r="G36" s="240" t="s">
        <v>1074</v>
      </c>
      <c r="H36" s="240" t="s">
        <v>865</v>
      </c>
      <c r="I36" s="240" t="s">
        <v>1050</v>
      </c>
    </row>
    <row r="37" spans="1:9" ht="43.5" x14ac:dyDescent="0.35">
      <c r="A37" s="240" t="s">
        <v>905</v>
      </c>
      <c r="B37" s="240" t="s">
        <v>1047</v>
      </c>
      <c r="C37" s="354">
        <v>2022</v>
      </c>
      <c r="D37" s="240" t="s">
        <v>1048</v>
      </c>
      <c r="E37" s="240" t="s">
        <v>1049</v>
      </c>
      <c r="F37" s="240" t="s">
        <v>192</v>
      </c>
      <c r="G37" s="240" t="s">
        <v>1075</v>
      </c>
      <c r="H37" s="240" t="s">
        <v>1034</v>
      </c>
      <c r="I37" s="240" t="s">
        <v>1050</v>
      </c>
    </row>
    <row r="38" spans="1:9" ht="43.5" x14ac:dyDescent="0.35">
      <c r="A38" s="240" t="s">
        <v>905</v>
      </c>
      <c r="B38" s="240" t="s">
        <v>1051</v>
      </c>
      <c r="C38" s="354">
        <v>2023</v>
      </c>
      <c r="D38" s="240" t="s">
        <v>1049</v>
      </c>
      <c r="E38" s="240" t="s">
        <v>1049</v>
      </c>
      <c r="F38" s="240" t="s">
        <v>192</v>
      </c>
      <c r="G38" s="240" t="s">
        <v>1076</v>
      </c>
      <c r="H38" s="240" t="s">
        <v>1053</v>
      </c>
      <c r="I38" s="240" t="s">
        <v>1050</v>
      </c>
    </row>
    <row r="39" spans="1:9" ht="43.5" x14ac:dyDescent="0.35">
      <c r="A39" s="240" t="s">
        <v>905</v>
      </c>
      <c r="B39" s="240" t="s">
        <v>1054</v>
      </c>
      <c r="C39" s="354">
        <v>2024</v>
      </c>
      <c r="D39" s="240" t="s">
        <v>1049</v>
      </c>
      <c r="E39" s="240" t="s">
        <v>1049</v>
      </c>
      <c r="F39" s="240" t="s">
        <v>192</v>
      </c>
      <c r="G39" s="240" t="s">
        <v>1077</v>
      </c>
      <c r="H39" s="240" t="s">
        <v>865</v>
      </c>
      <c r="I39" s="240" t="s">
        <v>1050</v>
      </c>
    </row>
    <row r="40" spans="1:9" ht="43.5" x14ac:dyDescent="0.35">
      <c r="A40" s="240" t="s">
        <v>1078</v>
      </c>
      <c r="B40" s="240" t="s">
        <v>1047</v>
      </c>
      <c r="C40" s="354">
        <v>2022</v>
      </c>
      <c r="D40" s="240" t="s">
        <v>1048</v>
      </c>
      <c r="E40" s="240" t="s">
        <v>1049</v>
      </c>
      <c r="F40" s="240" t="s">
        <v>192</v>
      </c>
      <c r="G40" s="240" t="s">
        <v>1079</v>
      </c>
      <c r="H40" s="240" t="s">
        <v>1034</v>
      </c>
      <c r="I40" s="240" t="s">
        <v>1050</v>
      </c>
    </row>
    <row r="41" spans="1:9" ht="43.5" x14ac:dyDescent="0.35">
      <c r="A41" s="240" t="s">
        <v>1078</v>
      </c>
      <c r="B41" s="240" t="s">
        <v>1051</v>
      </c>
      <c r="C41" s="354">
        <v>2023</v>
      </c>
      <c r="D41" s="240" t="s">
        <v>1049</v>
      </c>
      <c r="E41" s="240" t="s">
        <v>1049</v>
      </c>
      <c r="F41" s="240" t="s">
        <v>192</v>
      </c>
      <c r="G41" s="240" t="s">
        <v>1080</v>
      </c>
      <c r="H41" s="240" t="s">
        <v>1053</v>
      </c>
      <c r="I41" s="240" t="s">
        <v>1050</v>
      </c>
    </row>
    <row r="42" spans="1:9" ht="29" x14ac:dyDescent="0.35">
      <c r="A42" s="240" t="s">
        <v>1078</v>
      </c>
      <c r="B42" s="240" t="s">
        <v>1054</v>
      </c>
      <c r="C42" s="354">
        <v>2024</v>
      </c>
      <c r="D42" s="240" t="s">
        <v>1049</v>
      </c>
      <c r="E42" s="240" t="s">
        <v>1049</v>
      </c>
      <c r="F42" s="240" t="s">
        <v>192</v>
      </c>
      <c r="G42" s="240" t="s">
        <v>1081</v>
      </c>
      <c r="H42" s="240" t="s">
        <v>865</v>
      </c>
      <c r="I42" s="240" t="s">
        <v>1050</v>
      </c>
    </row>
    <row r="43" spans="1:9" ht="43.5" x14ac:dyDescent="0.35">
      <c r="A43" s="240" t="s">
        <v>1082</v>
      </c>
      <c r="B43" s="240" t="s">
        <v>1047</v>
      </c>
      <c r="C43" s="354">
        <v>2022</v>
      </c>
      <c r="D43" s="240" t="s">
        <v>1048</v>
      </c>
      <c r="E43" s="240" t="s">
        <v>1049</v>
      </c>
      <c r="F43" s="240" t="s">
        <v>192</v>
      </c>
      <c r="G43" s="240" t="s">
        <v>1083</v>
      </c>
      <c r="H43" s="240" t="s">
        <v>1034</v>
      </c>
      <c r="I43" s="240" t="s">
        <v>1050</v>
      </c>
    </row>
    <row r="44" spans="1:9" ht="43.5" x14ac:dyDescent="0.35">
      <c r="A44" s="240" t="s">
        <v>1082</v>
      </c>
      <c r="B44" s="240" t="s">
        <v>1051</v>
      </c>
      <c r="C44" s="354">
        <v>2023</v>
      </c>
      <c r="D44" s="240" t="s">
        <v>1049</v>
      </c>
      <c r="E44" s="240" t="s">
        <v>1049</v>
      </c>
      <c r="F44" s="240" t="s">
        <v>192</v>
      </c>
      <c r="G44" s="240" t="s">
        <v>1084</v>
      </c>
      <c r="H44" s="240" t="s">
        <v>1053</v>
      </c>
      <c r="I44" s="240" t="s">
        <v>1050</v>
      </c>
    </row>
    <row r="45" spans="1:9" ht="29" x14ac:dyDescent="0.35">
      <c r="A45" s="240" t="s">
        <v>1082</v>
      </c>
      <c r="B45" s="240" t="s">
        <v>1054</v>
      </c>
      <c r="C45" s="354">
        <v>2024</v>
      </c>
      <c r="D45" s="240" t="s">
        <v>1049</v>
      </c>
      <c r="E45" s="240" t="s">
        <v>1049</v>
      </c>
      <c r="F45" s="240" t="s">
        <v>192</v>
      </c>
      <c r="G45" s="240" t="s">
        <v>1085</v>
      </c>
      <c r="H45" s="240" t="s">
        <v>865</v>
      </c>
      <c r="I45" s="240" t="s">
        <v>1050</v>
      </c>
    </row>
    <row r="46" spans="1:9" ht="43.5" x14ac:dyDescent="0.35">
      <c r="A46" s="240" t="s">
        <v>908</v>
      </c>
      <c r="B46" s="240" t="s">
        <v>1047</v>
      </c>
      <c r="C46" s="354">
        <v>2022</v>
      </c>
      <c r="D46" s="240" t="s">
        <v>1048</v>
      </c>
      <c r="E46" s="240" t="s">
        <v>1049</v>
      </c>
      <c r="F46" s="240" t="s">
        <v>192</v>
      </c>
      <c r="G46" s="240" t="s">
        <v>681</v>
      </c>
      <c r="H46" s="240" t="s">
        <v>1034</v>
      </c>
      <c r="I46" s="240" t="s">
        <v>1050</v>
      </c>
    </row>
    <row r="47" spans="1:9" ht="43.5" x14ac:dyDescent="0.35">
      <c r="A47" s="240" t="s">
        <v>908</v>
      </c>
      <c r="B47" s="240" t="s">
        <v>1051</v>
      </c>
      <c r="C47" s="354">
        <v>2023</v>
      </c>
      <c r="D47" s="240" t="s">
        <v>1049</v>
      </c>
      <c r="E47" s="240" t="s">
        <v>1049</v>
      </c>
      <c r="F47" s="240" t="s">
        <v>192</v>
      </c>
      <c r="G47" s="240" t="s">
        <v>1086</v>
      </c>
      <c r="H47" s="240" t="s">
        <v>1053</v>
      </c>
      <c r="I47" s="240" t="s">
        <v>1050</v>
      </c>
    </row>
    <row r="48" spans="1:9" ht="43.5" x14ac:dyDescent="0.35">
      <c r="A48" s="240" t="s">
        <v>908</v>
      </c>
      <c r="B48" s="240" t="s">
        <v>1054</v>
      </c>
      <c r="C48" s="354">
        <v>2024</v>
      </c>
      <c r="D48" s="240" t="s">
        <v>1049</v>
      </c>
      <c r="E48" s="240" t="s">
        <v>1049</v>
      </c>
      <c r="F48" s="240" t="s">
        <v>192</v>
      </c>
      <c r="G48" s="240" t="s">
        <v>680</v>
      </c>
      <c r="H48" s="240" t="s">
        <v>865</v>
      </c>
      <c r="I48" s="240" t="s">
        <v>1050</v>
      </c>
    </row>
    <row r="49" spans="1:9" ht="43.5" x14ac:dyDescent="0.35">
      <c r="A49" s="240" t="s">
        <v>110</v>
      </c>
      <c r="B49" s="240" t="s">
        <v>1047</v>
      </c>
      <c r="C49" s="354">
        <v>2022</v>
      </c>
      <c r="D49" s="240" t="s">
        <v>1048</v>
      </c>
      <c r="E49" s="240" t="s">
        <v>1049</v>
      </c>
      <c r="F49" s="240" t="s">
        <v>192</v>
      </c>
      <c r="G49" s="240" t="s">
        <v>1087</v>
      </c>
      <c r="H49" s="240" t="s">
        <v>1034</v>
      </c>
      <c r="I49" s="240" t="s">
        <v>1050</v>
      </c>
    </row>
    <row r="50" spans="1:9" ht="43.5" x14ac:dyDescent="0.35">
      <c r="A50" s="240" t="s">
        <v>110</v>
      </c>
      <c r="B50" s="240" t="s">
        <v>1051</v>
      </c>
      <c r="C50" s="354">
        <v>2023</v>
      </c>
      <c r="D50" s="240" t="s">
        <v>1049</v>
      </c>
      <c r="E50" s="240" t="s">
        <v>1049</v>
      </c>
      <c r="F50" s="240" t="s">
        <v>192</v>
      </c>
      <c r="G50" s="240" t="s">
        <v>1088</v>
      </c>
      <c r="H50" s="240" t="s">
        <v>1053</v>
      </c>
      <c r="I50" s="240" t="s">
        <v>1050</v>
      </c>
    </row>
    <row r="51" spans="1:9" ht="29" x14ac:dyDescent="0.35">
      <c r="A51" s="240" t="s">
        <v>110</v>
      </c>
      <c r="B51" s="240" t="s">
        <v>1054</v>
      </c>
      <c r="C51" s="354">
        <v>2024</v>
      </c>
      <c r="D51" s="240" t="s">
        <v>1049</v>
      </c>
      <c r="E51" s="240" t="s">
        <v>1049</v>
      </c>
      <c r="F51" s="240" t="s">
        <v>192</v>
      </c>
      <c r="G51" s="240" t="s">
        <v>1089</v>
      </c>
      <c r="H51" s="240" t="s">
        <v>865</v>
      </c>
      <c r="I51" s="240" t="s">
        <v>1050</v>
      </c>
    </row>
    <row r="52" spans="1:9" ht="43.5" x14ac:dyDescent="0.35">
      <c r="A52" s="240" t="s">
        <v>1090</v>
      </c>
      <c r="B52" s="240" t="s">
        <v>1047</v>
      </c>
      <c r="C52" s="354">
        <v>2022</v>
      </c>
      <c r="D52" s="240" t="s">
        <v>1048</v>
      </c>
      <c r="E52" s="240" t="s">
        <v>1049</v>
      </c>
      <c r="F52" s="240" t="s">
        <v>192</v>
      </c>
      <c r="G52" s="240" t="s">
        <v>1042</v>
      </c>
      <c r="H52" s="240" t="s">
        <v>1034</v>
      </c>
      <c r="I52" s="240" t="s">
        <v>1050</v>
      </c>
    </row>
    <row r="53" spans="1:9" ht="43.5" x14ac:dyDescent="0.35">
      <c r="A53" s="240" t="s">
        <v>1090</v>
      </c>
      <c r="B53" s="240" t="s">
        <v>1051</v>
      </c>
      <c r="C53" s="354">
        <v>2023</v>
      </c>
      <c r="D53" s="240" t="s">
        <v>1049</v>
      </c>
      <c r="E53" s="240" t="s">
        <v>1049</v>
      </c>
      <c r="F53" s="240" t="s">
        <v>192</v>
      </c>
      <c r="G53" s="240" t="s">
        <v>1091</v>
      </c>
      <c r="H53" s="240" t="s">
        <v>1053</v>
      </c>
      <c r="I53" s="240" t="s">
        <v>1050</v>
      </c>
    </row>
    <row r="54" spans="1:9" ht="43.5" x14ac:dyDescent="0.35">
      <c r="A54" s="240" t="s">
        <v>1090</v>
      </c>
      <c r="B54" s="240" t="s">
        <v>1054</v>
      </c>
      <c r="C54" s="354">
        <v>2024</v>
      </c>
      <c r="D54" s="240" t="s">
        <v>1049</v>
      </c>
      <c r="E54" s="240" t="s">
        <v>1049</v>
      </c>
      <c r="F54" s="240" t="s">
        <v>192</v>
      </c>
      <c r="G54" s="240" t="s">
        <v>1092</v>
      </c>
      <c r="H54" s="240" t="s">
        <v>865</v>
      </c>
      <c r="I54" s="240" t="s">
        <v>1050</v>
      </c>
    </row>
    <row r="55" spans="1:9" ht="43.5" x14ac:dyDescent="0.35">
      <c r="A55" s="240" t="s">
        <v>686</v>
      </c>
      <c r="B55" s="240" t="s">
        <v>1093</v>
      </c>
      <c r="C55" s="354">
        <v>2022</v>
      </c>
      <c r="D55" s="240" t="s">
        <v>548</v>
      </c>
      <c r="E55" s="240" t="s">
        <v>548</v>
      </c>
      <c r="F55" s="240" t="s">
        <v>193</v>
      </c>
      <c r="G55" s="240" t="s">
        <v>1094</v>
      </c>
      <c r="H55" s="240" t="s">
        <v>1095</v>
      </c>
      <c r="I55" s="240" t="s">
        <v>1050</v>
      </c>
    </row>
    <row r="56" spans="1:9" ht="43.5" x14ac:dyDescent="0.35">
      <c r="A56" s="240" t="s">
        <v>686</v>
      </c>
      <c r="B56" s="240" t="s">
        <v>1051</v>
      </c>
      <c r="C56" s="354">
        <v>2023</v>
      </c>
      <c r="D56" s="240" t="s">
        <v>548</v>
      </c>
      <c r="E56" s="240" t="s">
        <v>548</v>
      </c>
      <c r="F56" s="240" t="s">
        <v>193</v>
      </c>
      <c r="G56" s="240" t="s">
        <v>1096</v>
      </c>
      <c r="H56" s="240" t="s">
        <v>1053</v>
      </c>
      <c r="I56" s="240" t="s">
        <v>1050</v>
      </c>
    </row>
    <row r="57" spans="1:9" ht="29" x14ac:dyDescent="0.35">
      <c r="A57" s="240" t="s">
        <v>686</v>
      </c>
      <c r="B57" s="240" t="s">
        <v>1054</v>
      </c>
      <c r="C57" s="354">
        <v>2024</v>
      </c>
      <c r="D57" s="240" t="s">
        <v>548</v>
      </c>
      <c r="E57" s="240" t="s">
        <v>548</v>
      </c>
      <c r="F57" s="240" t="s">
        <v>193</v>
      </c>
      <c r="G57" s="240" t="s">
        <v>687</v>
      </c>
      <c r="H57" s="240" t="s">
        <v>865</v>
      </c>
      <c r="I57" s="240" t="s">
        <v>1050</v>
      </c>
    </row>
    <row r="58" spans="1:9" ht="43.5" x14ac:dyDescent="0.35">
      <c r="A58" s="240" t="s">
        <v>1097</v>
      </c>
      <c r="B58" s="240" t="s">
        <v>1093</v>
      </c>
      <c r="C58" s="354">
        <v>2022</v>
      </c>
      <c r="D58" s="240" t="s">
        <v>548</v>
      </c>
      <c r="E58" s="240" t="s">
        <v>548</v>
      </c>
      <c r="F58" s="240" t="s">
        <v>193</v>
      </c>
      <c r="G58" s="240" t="s">
        <v>1070</v>
      </c>
      <c r="H58" s="240" t="s">
        <v>1095</v>
      </c>
      <c r="I58" s="240" t="s">
        <v>1050</v>
      </c>
    </row>
    <row r="59" spans="1:9" ht="43.5" x14ac:dyDescent="0.35">
      <c r="A59" s="240" t="s">
        <v>1097</v>
      </c>
      <c r="B59" s="240" t="s">
        <v>1051</v>
      </c>
      <c r="C59" s="354">
        <v>2023</v>
      </c>
      <c r="D59" s="240" t="s">
        <v>548</v>
      </c>
      <c r="E59" s="240" t="s">
        <v>548</v>
      </c>
      <c r="F59" s="240" t="s">
        <v>193</v>
      </c>
      <c r="G59" s="240" t="s">
        <v>1071</v>
      </c>
      <c r="H59" s="240" t="s">
        <v>1053</v>
      </c>
      <c r="I59" s="240" t="s">
        <v>1050</v>
      </c>
    </row>
    <row r="60" spans="1:9" ht="29" x14ac:dyDescent="0.35">
      <c r="A60" s="240" t="s">
        <v>1097</v>
      </c>
      <c r="B60" s="240" t="s">
        <v>1054</v>
      </c>
      <c r="C60" s="354">
        <v>2024</v>
      </c>
      <c r="D60" s="240" t="s">
        <v>548</v>
      </c>
      <c r="E60" s="240" t="s">
        <v>548</v>
      </c>
      <c r="F60" s="240" t="s">
        <v>193</v>
      </c>
      <c r="G60" s="240" t="s">
        <v>1072</v>
      </c>
      <c r="H60" s="240" t="s">
        <v>865</v>
      </c>
      <c r="I60" s="240" t="s">
        <v>1050</v>
      </c>
    </row>
    <row r="61" spans="1:9" ht="43.5" x14ac:dyDescent="0.35">
      <c r="A61" s="240" t="s">
        <v>1098</v>
      </c>
      <c r="B61" s="240" t="s">
        <v>1093</v>
      </c>
      <c r="C61" s="354">
        <v>2022</v>
      </c>
      <c r="D61" s="240" t="s">
        <v>548</v>
      </c>
      <c r="E61" s="240" t="s">
        <v>548</v>
      </c>
      <c r="F61" s="240" t="s">
        <v>193</v>
      </c>
      <c r="G61" s="240" t="s">
        <v>1099</v>
      </c>
      <c r="H61" s="240" t="s">
        <v>1095</v>
      </c>
      <c r="I61" s="240" t="s">
        <v>1050</v>
      </c>
    </row>
    <row r="62" spans="1:9" ht="43.5" x14ac:dyDescent="0.35">
      <c r="A62" s="240" t="s">
        <v>1098</v>
      </c>
      <c r="B62" s="240" t="s">
        <v>1051</v>
      </c>
      <c r="C62" s="354">
        <v>2023</v>
      </c>
      <c r="D62" s="240" t="s">
        <v>548</v>
      </c>
      <c r="E62" s="240" t="s">
        <v>548</v>
      </c>
      <c r="F62" s="240" t="s">
        <v>193</v>
      </c>
      <c r="G62" s="240" t="s">
        <v>1100</v>
      </c>
      <c r="H62" s="240" t="s">
        <v>1053</v>
      </c>
      <c r="I62" s="240" t="s">
        <v>1050</v>
      </c>
    </row>
    <row r="63" spans="1:9" ht="29" x14ac:dyDescent="0.35">
      <c r="A63" s="240" t="s">
        <v>1098</v>
      </c>
      <c r="B63" s="240" t="s">
        <v>1054</v>
      </c>
      <c r="C63" s="354">
        <v>2024</v>
      </c>
      <c r="D63" s="240" t="s">
        <v>548</v>
      </c>
      <c r="E63" s="240" t="s">
        <v>548</v>
      </c>
      <c r="F63" s="240" t="s">
        <v>193</v>
      </c>
      <c r="G63" s="240" t="s">
        <v>1101</v>
      </c>
      <c r="H63" s="240" t="s">
        <v>865</v>
      </c>
      <c r="I63" s="240" t="s">
        <v>1050</v>
      </c>
    </row>
    <row r="64" spans="1:9" ht="43.5" x14ac:dyDescent="0.35">
      <c r="A64" s="240" t="s">
        <v>1102</v>
      </c>
      <c r="B64" s="240" t="s">
        <v>1093</v>
      </c>
      <c r="C64" s="354">
        <v>2022</v>
      </c>
      <c r="D64" s="240" t="s">
        <v>548</v>
      </c>
      <c r="E64" s="240" t="s">
        <v>548</v>
      </c>
      <c r="F64" s="240" t="s">
        <v>193</v>
      </c>
      <c r="G64" s="240" t="s">
        <v>1103</v>
      </c>
      <c r="H64" s="240" t="s">
        <v>1095</v>
      </c>
      <c r="I64" s="240" t="s">
        <v>1050</v>
      </c>
    </row>
    <row r="65" spans="1:9" ht="43.5" x14ac:dyDescent="0.35">
      <c r="A65" s="240" t="s">
        <v>1102</v>
      </c>
      <c r="B65" s="240" t="s">
        <v>1051</v>
      </c>
      <c r="C65" s="354">
        <v>2023</v>
      </c>
      <c r="D65" s="240" t="s">
        <v>548</v>
      </c>
      <c r="E65" s="240" t="s">
        <v>548</v>
      </c>
      <c r="F65" s="240" t="s">
        <v>193</v>
      </c>
      <c r="G65" s="240" t="s">
        <v>1104</v>
      </c>
      <c r="H65" s="240" t="s">
        <v>1053</v>
      </c>
      <c r="I65" s="240" t="s">
        <v>1050</v>
      </c>
    </row>
    <row r="66" spans="1:9" ht="29" x14ac:dyDescent="0.35">
      <c r="A66" s="240" t="s">
        <v>1102</v>
      </c>
      <c r="B66" s="240" t="s">
        <v>1054</v>
      </c>
      <c r="C66" s="354">
        <v>2024</v>
      </c>
      <c r="D66" s="240" t="s">
        <v>548</v>
      </c>
      <c r="E66" s="240" t="s">
        <v>548</v>
      </c>
      <c r="F66" s="240" t="s">
        <v>193</v>
      </c>
      <c r="G66" s="240" t="s">
        <v>1105</v>
      </c>
      <c r="H66" s="240" t="s">
        <v>865</v>
      </c>
      <c r="I66" s="240" t="s">
        <v>1050</v>
      </c>
    </row>
    <row r="67" spans="1:9" ht="29" x14ac:dyDescent="0.35">
      <c r="A67" s="240" t="s">
        <v>373</v>
      </c>
      <c r="B67" s="240" t="s">
        <v>1106</v>
      </c>
      <c r="C67" s="354">
        <v>2022</v>
      </c>
      <c r="D67" s="240" t="s">
        <v>1107</v>
      </c>
      <c r="E67" s="240" t="s">
        <v>1108</v>
      </c>
      <c r="F67" s="240" t="s">
        <v>198</v>
      </c>
      <c r="G67" s="240" t="s">
        <v>1109</v>
      </c>
      <c r="H67" s="240" t="s">
        <v>925</v>
      </c>
      <c r="I67" s="240" t="s">
        <v>1050</v>
      </c>
    </row>
    <row r="68" spans="1:9" ht="43.5" x14ac:dyDescent="0.35">
      <c r="A68" s="240" t="s">
        <v>373</v>
      </c>
      <c r="B68" s="240" t="s">
        <v>1110</v>
      </c>
      <c r="C68" s="354">
        <v>2023</v>
      </c>
      <c r="D68" s="240" t="s">
        <v>1107</v>
      </c>
      <c r="E68" s="240" t="s">
        <v>1108</v>
      </c>
      <c r="F68" s="240" t="s">
        <v>198</v>
      </c>
      <c r="G68" s="240" t="s">
        <v>1111</v>
      </c>
      <c r="H68" s="240" t="s">
        <v>928</v>
      </c>
      <c r="I68" s="240" t="s">
        <v>1050</v>
      </c>
    </row>
    <row r="69" spans="1:9" ht="43.5" x14ac:dyDescent="0.35">
      <c r="A69" s="240" t="s">
        <v>373</v>
      </c>
      <c r="B69" s="240" t="s">
        <v>1112</v>
      </c>
      <c r="C69" s="354">
        <v>2024</v>
      </c>
      <c r="D69" s="240" t="s">
        <v>1107</v>
      </c>
      <c r="E69" s="240" t="s">
        <v>1108</v>
      </c>
      <c r="F69" s="240" t="s">
        <v>198</v>
      </c>
      <c r="G69" s="240" t="s">
        <v>1113</v>
      </c>
      <c r="H69" s="240" t="s">
        <v>864</v>
      </c>
      <c r="I69" s="240" t="s">
        <v>1050</v>
      </c>
    </row>
    <row r="70" spans="1:9" ht="29" x14ac:dyDescent="0.35">
      <c r="A70" s="240" t="s">
        <v>375</v>
      </c>
      <c r="B70" s="240" t="s">
        <v>1106</v>
      </c>
      <c r="C70" s="354">
        <v>2022</v>
      </c>
      <c r="D70" s="240" t="s">
        <v>1107</v>
      </c>
      <c r="E70" s="240" t="s">
        <v>1108</v>
      </c>
      <c r="F70" s="240" t="s">
        <v>198</v>
      </c>
      <c r="G70" s="240" t="s">
        <v>1114</v>
      </c>
      <c r="H70" s="240" t="s">
        <v>925</v>
      </c>
      <c r="I70" s="240" t="s">
        <v>1050</v>
      </c>
    </row>
    <row r="71" spans="1:9" ht="43.5" x14ac:dyDescent="0.35">
      <c r="A71" s="240" t="s">
        <v>375</v>
      </c>
      <c r="B71" s="240" t="s">
        <v>1110</v>
      </c>
      <c r="C71" s="354">
        <v>2023</v>
      </c>
      <c r="D71" s="240" t="s">
        <v>1107</v>
      </c>
      <c r="E71" s="240" t="s">
        <v>1108</v>
      </c>
      <c r="F71" s="240" t="s">
        <v>198</v>
      </c>
      <c r="G71" s="240" t="s">
        <v>1115</v>
      </c>
      <c r="H71" s="240" t="s">
        <v>928</v>
      </c>
      <c r="I71" s="240" t="s">
        <v>1050</v>
      </c>
    </row>
    <row r="72" spans="1:9" ht="43.5" x14ac:dyDescent="0.35">
      <c r="A72" s="240" t="s">
        <v>375</v>
      </c>
      <c r="B72" s="240" t="s">
        <v>1112</v>
      </c>
      <c r="C72" s="354">
        <v>2024</v>
      </c>
      <c r="D72" s="240" t="s">
        <v>1107</v>
      </c>
      <c r="E72" s="240" t="s">
        <v>1108</v>
      </c>
      <c r="F72" s="240" t="s">
        <v>198</v>
      </c>
      <c r="G72" s="240" t="s">
        <v>1116</v>
      </c>
      <c r="H72" s="240" t="s">
        <v>864</v>
      </c>
      <c r="I72" s="240" t="s">
        <v>1050</v>
      </c>
    </row>
    <row r="73" spans="1:9" ht="29" x14ac:dyDescent="0.35">
      <c r="A73" s="240" t="s">
        <v>377</v>
      </c>
      <c r="B73" s="240" t="s">
        <v>1106</v>
      </c>
      <c r="C73" s="354">
        <v>2022</v>
      </c>
      <c r="D73" s="240" t="s">
        <v>1107</v>
      </c>
      <c r="E73" s="240" t="s">
        <v>1108</v>
      </c>
      <c r="F73" s="240" t="s">
        <v>198</v>
      </c>
      <c r="G73" s="240" t="s">
        <v>1070</v>
      </c>
      <c r="H73" s="240" t="s">
        <v>925</v>
      </c>
      <c r="I73" s="240" t="s">
        <v>1050</v>
      </c>
    </row>
    <row r="74" spans="1:9" ht="43.5" x14ac:dyDescent="0.35">
      <c r="A74" s="240" t="s">
        <v>377</v>
      </c>
      <c r="B74" s="240" t="s">
        <v>1110</v>
      </c>
      <c r="C74" s="354">
        <v>2023</v>
      </c>
      <c r="D74" s="240" t="s">
        <v>1107</v>
      </c>
      <c r="E74" s="240" t="s">
        <v>1108</v>
      </c>
      <c r="F74" s="240" t="s">
        <v>198</v>
      </c>
      <c r="G74" s="240" t="s">
        <v>1071</v>
      </c>
      <c r="H74" s="240" t="s">
        <v>928</v>
      </c>
      <c r="I74" s="240" t="s">
        <v>1050</v>
      </c>
    </row>
    <row r="75" spans="1:9" ht="43.5" x14ac:dyDescent="0.35">
      <c r="A75" s="240" t="s">
        <v>377</v>
      </c>
      <c r="B75" s="240" t="s">
        <v>1112</v>
      </c>
      <c r="C75" s="354">
        <v>2024</v>
      </c>
      <c r="D75" s="240" t="s">
        <v>1107</v>
      </c>
      <c r="E75" s="240" t="s">
        <v>1108</v>
      </c>
      <c r="F75" s="240" t="s">
        <v>198</v>
      </c>
      <c r="G75" s="240" t="s">
        <v>1072</v>
      </c>
      <c r="H75" s="240" t="s">
        <v>864</v>
      </c>
      <c r="I75" s="240" t="s">
        <v>1050</v>
      </c>
    </row>
    <row r="76" spans="1:9" ht="29" x14ac:dyDescent="0.35">
      <c r="A76" s="240" t="s">
        <v>378</v>
      </c>
      <c r="B76" s="240" t="s">
        <v>1106</v>
      </c>
      <c r="C76" s="354">
        <v>2022</v>
      </c>
      <c r="D76" s="240" t="s">
        <v>1107</v>
      </c>
      <c r="E76" s="240" t="s">
        <v>1108</v>
      </c>
      <c r="F76" s="240" t="s">
        <v>198</v>
      </c>
      <c r="G76" s="240" t="s">
        <v>1117</v>
      </c>
      <c r="H76" s="240" t="s">
        <v>925</v>
      </c>
      <c r="I76" s="240" t="s">
        <v>1050</v>
      </c>
    </row>
    <row r="77" spans="1:9" ht="43.5" x14ac:dyDescent="0.35">
      <c r="A77" s="240" t="s">
        <v>378</v>
      </c>
      <c r="B77" s="240" t="s">
        <v>1110</v>
      </c>
      <c r="C77" s="354">
        <v>2023</v>
      </c>
      <c r="D77" s="240" t="s">
        <v>1107</v>
      </c>
      <c r="E77" s="240" t="s">
        <v>1108</v>
      </c>
      <c r="F77" s="240" t="s">
        <v>198</v>
      </c>
      <c r="G77" s="240" t="s">
        <v>1118</v>
      </c>
      <c r="H77" s="240" t="s">
        <v>928</v>
      </c>
      <c r="I77" s="240" t="s">
        <v>1050</v>
      </c>
    </row>
    <row r="78" spans="1:9" ht="43.5" x14ac:dyDescent="0.35">
      <c r="A78" s="240" t="s">
        <v>378</v>
      </c>
      <c r="B78" s="240" t="s">
        <v>1112</v>
      </c>
      <c r="C78" s="354">
        <v>2024</v>
      </c>
      <c r="D78" s="240" t="s">
        <v>1107</v>
      </c>
      <c r="E78" s="240" t="s">
        <v>1108</v>
      </c>
      <c r="F78" s="240" t="s">
        <v>198</v>
      </c>
      <c r="G78" s="240" t="s">
        <v>1119</v>
      </c>
      <c r="H78" s="240" t="s">
        <v>864</v>
      </c>
      <c r="I78" s="240" t="s">
        <v>1050</v>
      </c>
    </row>
    <row r="79" spans="1:9" ht="29" x14ac:dyDescent="0.35">
      <c r="A79" s="240" t="s">
        <v>379</v>
      </c>
      <c r="B79" s="240" t="s">
        <v>1106</v>
      </c>
      <c r="C79" s="354">
        <v>2022</v>
      </c>
      <c r="D79" s="240" t="s">
        <v>1107</v>
      </c>
      <c r="E79" s="240" t="s">
        <v>1108</v>
      </c>
      <c r="F79" s="240" t="s">
        <v>198</v>
      </c>
      <c r="G79" s="240" t="s">
        <v>1120</v>
      </c>
      <c r="H79" s="240" t="s">
        <v>925</v>
      </c>
      <c r="I79" s="240" t="s">
        <v>1050</v>
      </c>
    </row>
    <row r="80" spans="1:9" ht="43.5" x14ac:dyDescent="0.35">
      <c r="A80" s="240" t="s">
        <v>379</v>
      </c>
      <c r="B80" s="240" t="s">
        <v>1110</v>
      </c>
      <c r="C80" s="354">
        <v>2023</v>
      </c>
      <c r="D80" s="240" t="s">
        <v>1107</v>
      </c>
      <c r="E80" s="240" t="s">
        <v>1108</v>
      </c>
      <c r="F80" s="240" t="s">
        <v>198</v>
      </c>
      <c r="G80" s="240" t="s">
        <v>1121</v>
      </c>
      <c r="H80" s="240" t="s">
        <v>928</v>
      </c>
      <c r="I80" s="240" t="s">
        <v>1050</v>
      </c>
    </row>
    <row r="81" spans="1:9" ht="43.5" x14ac:dyDescent="0.35">
      <c r="A81" s="240" t="s">
        <v>379</v>
      </c>
      <c r="B81" s="240" t="s">
        <v>1112</v>
      </c>
      <c r="C81" s="354">
        <v>2024</v>
      </c>
      <c r="D81" s="240" t="s">
        <v>1107</v>
      </c>
      <c r="E81" s="240" t="s">
        <v>1108</v>
      </c>
      <c r="F81" s="240" t="s">
        <v>198</v>
      </c>
      <c r="G81" s="240" t="s">
        <v>1122</v>
      </c>
      <c r="H81" s="240" t="s">
        <v>864</v>
      </c>
      <c r="I81" s="240" t="s">
        <v>1050</v>
      </c>
    </row>
    <row r="82" spans="1:9" ht="29" x14ac:dyDescent="0.35">
      <c r="A82" s="240" t="s">
        <v>380</v>
      </c>
      <c r="B82" s="240" t="s">
        <v>1106</v>
      </c>
      <c r="C82" s="354">
        <v>2022</v>
      </c>
      <c r="D82" s="240" t="s">
        <v>1107</v>
      </c>
      <c r="E82" s="240" t="s">
        <v>1108</v>
      </c>
      <c r="F82" s="240" t="s">
        <v>198</v>
      </c>
      <c r="G82" s="240" t="s">
        <v>1123</v>
      </c>
      <c r="H82" s="240" t="s">
        <v>925</v>
      </c>
      <c r="I82" s="240" t="s">
        <v>1050</v>
      </c>
    </row>
    <row r="83" spans="1:9" ht="43.5" x14ac:dyDescent="0.35">
      <c r="A83" s="240" t="s">
        <v>380</v>
      </c>
      <c r="B83" s="240" t="s">
        <v>1110</v>
      </c>
      <c r="C83" s="354">
        <v>2023</v>
      </c>
      <c r="D83" s="240" t="s">
        <v>1107</v>
      </c>
      <c r="E83" s="240" t="s">
        <v>1108</v>
      </c>
      <c r="F83" s="240" t="s">
        <v>198</v>
      </c>
      <c r="G83" s="240" t="s">
        <v>1124</v>
      </c>
      <c r="H83" s="240" t="s">
        <v>928</v>
      </c>
      <c r="I83" s="240" t="s">
        <v>1050</v>
      </c>
    </row>
    <row r="84" spans="1:9" ht="43.5" x14ac:dyDescent="0.35">
      <c r="A84" s="240" t="s">
        <v>380</v>
      </c>
      <c r="B84" s="240" t="s">
        <v>1112</v>
      </c>
      <c r="C84" s="354">
        <v>2024</v>
      </c>
      <c r="D84" s="240" t="s">
        <v>1107</v>
      </c>
      <c r="E84" s="240" t="s">
        <v>1108</v>
      </c>
      <c r="F84" s="240" t="s">
        <v>198</v>
      </c>
      <c r="G84" s="240" t="s">
        <v>1125</v>
      </c>
      <c r="H84" s="240" t="s">
        <v>864</v>
      </c>
      <c r="I84" s="240" t="s">
        <v>1050</v>
      </c>
    </row>
    <row r="85" spans="1:9" ht="29" x14ac:dyDescent="0.35">
      <c r="A85" s="240" t="s">
        <v>381</v>
      </c>
      <c r="B85" s="240" t="s">
        <v>1106</v>
      </c>
      <c r="C85" s="354">
        <v>2022</v>
      </c>
      <c r="D85" s="240" t="s">
        <v>1107</v>
      </c>
      <c r="E85" s="240" t="s">
        <v>1108</v>
      </c>
      <c r="F85" s="240" t="s">
        <v>198</v>
      </c>
      <c r="G85" s="240" t="s">
        <v>1126</v>
      </c>
      <c r="H85" s="240" t="s">
        <v>925</v>
      </c>
      <c r="I85" s="240" t="s">
        <v>1050</v>
      </c>
    </row>
    <row r="86" spans="1:9" ht="43.5" x14ac:dyDescent="0.35">
      <c r="A86" s="240" t="s">
        <v>381</v>
      </c>
      <c r="B86" s="240" t="s">
        <v>1110</v>
      </c>
      <c r="C86" s="354">
        <v>2023</v>
      </c>
      <c r="D86" s="240" t="s">
        <v>1107</v>
      </c>
      <c r="E86" s="240" t="s">
        <v>1108</v>
      </c>
      <c r="F86" s="240" t="s">
        <v>198</v>
      </c>
      <c r="G86" s="240" t="s">
        <v>1127</v>
      </c>
      <c r="H86" s="240" t="s">
        <v>928</v>
      </c>
      <c r="I86" s="240" t="s">
        <v>1050</v>
      </c>
    </row>
    <row r="87" spans="1:9" ht="43.5" x14ac:dyDescent="0.35">
      <c r="A87" s="240" t="s">
        <v>381</v>
      </c>
      <c r="B87" s="240" t="s">
        <v>1112</v>
      </c>
      <c r="C87" s="354">
        <v>2024</v>
      </c>
      <c r="D87" s="240" t="s">
        <v>1107</v>
      </c>
      <c r="E87" s="240" t="s">
        <v>1108</v>
      </c>
      <c r="F87" s="240" t="s">
        <v>198</v>
      </c>
      <c r="G87" s="240" t="s">
        <v>1128</v>
      </c>
      <c r="H87" s="240" t="s">
        <v>864</v>
      </c>
      <c r="I87" s="240" t="s">
        <v>1050</v>
      </c>
    </row>
    <row r="88" spans="1:9" ht="29" x14ac:dyDescent="0.35">
      <c r="A88" s="240" t="s">
        <v>1129</v>
      </c>
      <c r="B88" s="240" t="s">
        <v>1106</v>
      </c>
      <c r="C88" s="354">
        <v>2022</v>
      </c>
      <c r="D88" s="240" t="s">
        <v>1130</v>
      </c>
      <c r="E88" s="240" t="s">
        <v>1131</v>
      </c>
      <c r="F88" s="240" t="s">
        <v>197</v>
      </c>
      <c r="G88" s="240" t="s">
        <v>1132</v>
      </c>
      <c r="H88" s="240" t="s">
        <v>925</v>
      </c>
      <c r="I88" s="240" t="s">
        <v>1050</v>
      </c>
    </row>
    <row r="89" spans="1:9" ht="43.5" x14ac:dyDescent="0.35">
      <c r="A89" s="240" t="s">
        <v>1129</v>
      </c>
      <c r="B89" s="240" t="s">
        <v>1110</v>
      </c>
      <c r="C89" s="354">
        <v>2023</v>
      </c>
      <c r="D89" s="240" t="s">
        <v>1130</v>
      </c>
      <c r="E89" s="240" t="s">
        <v>1131</v>
      </c>
      <c r="F89" s="240" t="s">
        <v>197</v>
      </c>
      <c r="G89" s="240" t="s">
        <v>1133</v>
      </c>
      <c r="H89" s="240" t="s">
        <v>928</v>
      </c>
      <c r="I89" s="240" t="s">
        <v>1050</v>
      </c>
    </row>
    <row r="90" spans="1:9" ht="43.5" x14ac:dyDescent="0.35">
      <c r="A90" s="240" t="s">
        <v>1129</v>
      </c>
      <c r="B90" s="240" t="s">
        <v>1112</v>
      </c>
      <c r="C90" s="354">
        <v>2024</v>
      </c>
      <c r="D90" s="240" t="s">
        <v>1130</v>
      </c>
      <c r="E90" s="240" t="s">
        <v>1131</v>
      </c>
      <c r="F90" s="240" t="s">
        <v>197</v>
      </c>
      <c r="G90" s="240" t="s">
        <v>1134</v>
      </c>
      <c r="H90" s="240" t="s">
        <v>864</v>
      </c>
      <c r="I90" s="240" t="s">
        <v>1050</v>
      </c>
    </row>
    <row r="91" spans="1:9" ht="29" x14ac:dyDescent="0.35">
      <c r="A91" s="240" t="s">
        <v>1135</v>
      </c>
      <c r="B91" s="240" t="s">
        <v>1106</v>
      </c>
      <c r="C91" s="354">
        <v>2022</v>
      </c>
      <c r="D91" s="240" t="s">
        <v>1130</v>
      </c>
      <c r="E91" s="240" t="s">
        <v>1131</v>
      </c>
      <c r="F91" s="240" t="s">
        <v>197</v>
      </c>
      <c r="G91" s="240" t="s">
        <v>1040</v>
      </c>
      <c r="H91" s="240" t="s">
        <v>925</v>
      </c>
      <c r="I91" s="240" t="s">
        <v>1050</v>
      </c>
    </row>
    <row r="92" spans="1:9" ht="43.5" x14ac:dyDescent="0.35">
      <c r="A92" s="240" t="s">
        <v>1135</v>
      </c>
      <c r="B92" s="240" t="s">
        <v>1110</v>
      </c>
      <c r="C92" s="354">
        <v>2023</v>
      </c>
      <c r="D92" s="240" t="s">
        <v>1130</v>
      </c>
      <c r="E92" s="240" t="s">
        <v>1131</v>
      </c>
      <c r="F92" s="240" t="s">
        <v>197</v>
      </c>
      <c r="G92" s="240" t="s">
        <v>683</v>
      </c>
      <c r="H92" s="240" t="s">
        <v>928</v>
      </c>
      <c r="I92" s="240" t="s">
        <v>1050</v>
      </c>
    </row>
    <row r="93" spans="1:9" ht="43.5" x14ac:dyDescent="0.35">
      <c r="A93" s="240" t="s">
        <v>1135</v>
      </c>
      <c r="B93" s="240" t="s">
        <v>1112</v>
      </c>
      <c r="C93" s="354">
        <v>2024</v>
      </c>
      <c r="D93" s="240" t="s">
        <v>1130</v>
      </c>
      <c r="E93" s="240" t="s">
        <v>1131</v>
      </c>
      <c r="F93" s="240" t="s">
        <v>197</v>
      </c>
      <c r="G93" s="240" t="s">
        <v>1136</v>
      </c>
      <c r="H93" s="240" t="s">
        <v>864</v>
      </c>
      <c r="I93" s="240" t="s">
        <v>1050</v>
      </c>
    </row>
    <row r="94" spans="1:9" ht="29" x14ac:dyDescent="0.35">
      <c r="A94" s="240" t="s">
        <v>1137</v>
      </c>
      <c r="B94" s="240" t="s">
        <v>1106</v>
      </c>
      <c r="C94" s="354">
        <v>2022</v>
      </c>
      <c r="D94" s="240" t="s">
        <v>1130</v>
      </c>
      <c r="E94" s="240" t="s">
        <v>1131</v>
      </c>
      <c r="F94" s="240" t="s">
        <v>197</v>
      </c>
      <c r="G94" s="240" t="s">
        <v>1044</v>
      </c>
      <c r="H94" s="240" t="s">
        <v>925</v>
      </c>
      <c r="I94" s="240" t="s">
        <v>1050</v>
      </c>
    </row>
    <row r="95" spans="1:9" ht="43.5" x14ac:dyDescent="0.35">
      <c r="A95" s="240" t="s">
        <v>1137</v>
      </c>
      <c r="B95" s="240" t="s">
        <v>1110</v>
      </c>
      <c r="C95" s="354">
        <v>2023</v>
      </c>
      <c r="D95" s="240" t="s">
        <v>1130</v>
      </c>
      <c r="E95" s="240" t="s">
        <v>1131</v>
      </c>
      <c r="F95" s="240" t="s">
        <v>197</v>
      </c>
      <c r="G95" s="240" t="s">
        <v>1052</v>
      </c>
      <c r="H95" s="240" t="s">
        <v>928</v>
      </c>
      <c r="I95" s="240" t="s">
        <v>1050</v>
      </c>
    </row>
    <row r="96" spans="1:9" ht="43.5" x14ac:dyDescent="0.35">
      <c r="A96" s="240" t="s">
        <v>1137</v>
      </c>
      <c r="B96" s="240" t="s">
        <v>1112</v>
      </c>
      <c r="C96" s="354">
        <v>2024</v>
      </c>
      <c r="D96" s="240" t="s">
        <v>1130</v>
      </c>
      <c r="E96" s="240" t="s">
        <v>1131</v>
      </c>
      <c r="F96" s="240" t="s">
        <v>197</v>
      </c>
      <c r="G96" s="240" t="s">
        <v>1055</v>
      </c>
      <c r="H96" s="240" t="s">
        <v>864</v>
      </c>
      <c r="I96" s="240" t="s">
        <v>1050</v>
      </c>
    </row>
    <row r="97" spans="1:9" ht="43.5" x14ac:dyDescent="0.35">
      <c r="A97" s="240" t="s">
        <v>151</v>
      </c>
      <c r="B97" s="240" t="s">
        <v>1106</v>
      </c>
      <c r="C97" s="354">
        <v>2022</v>
      </c>
      <c r="D97" s="240" t="s">
        <v>1138</v>
      </c>
      <c r="E97" s="240" t="s">
        <v>1139</v>
      </c>
      <c r="F97" s="240" t="s">
        <v>199</v>
      </c>
      <c r="G97" s="240" t="s">
        <v>1132</v>
      </c>
      <c r="H97" s="240" t="s">
        <v>925</v>
      </c>
      <c r="I97" s="240" t="s">
        <v>1050</v>
      </c>
    </row>
    <row r="98" spans="1:9" ht="43.5" x14ac:dyDescent="0.35">
      <c r="A98" s="240" t="s">
        <v>151</v>
      </c>
      <c r="B98" s="240" t="s">
        <v>1110</v>
      </c>
      <c r="C98" s="354">
        <v>2023</v>
      </c>
      <c r="D98" s="240" t="s">
        <v>1138</v>
      </c>
      <c r="E98" s="240" t="s">
        <v>1139</v>
      </c>
      <c r="F98" s="240" t="s">
        <v>199</v>
      </c>
      <c r="G98" s="240" t="s">
        <v>1133</v>
      </c>
      <c r="H98" s="240" t="s">
        <v>928</v>
      </c>
      <c r="I98" s="240" t="s">
        <v>1050</v>
      </c>
    </row>
    <row r="99" spans="1:9" ht="43.5" x14ac:dyDescent="0.35">
      <c r="A99" s="240" t="s">
        <v>151</v>
      </c>
      <c r="B99" s="240" t="s">
        <v>1112</v>
      </c>
      <c r="C99" s="354">
        <v>2024</v>
      </c>
      <c r="D99" s="240" t="s">
        <v>1138</v>
      </c>
      <c r="E99" s="240" t="s">
        <v>1139</v>
      </c>
      <c r="F99" s="240" t="s">
        <v>199</v>
      </c>
      <c r="G99" s="240" t="s">
        <v>1134</v>
      </c>
      <c r="H99" s="240" t="s">
        <v>864</v>
      </c>
      <c r="I99" s="240" t="s">
        <v>1050</v>
      </c>
    </row>
    <row r="100" spans="1:9" ht="43.5" x14ac:dyDescent="0.35">
      <c r="A100" s="240" t="s">
        <v>140</v>
      </c>
      <c r="B100" s="240" t="s">
        <v>1106</v>
      </c>
      <c r="C100" s="354">
        <v>2022</v>
      </c>
      <c r="D100" s="240" t="s">
        <v>1138</v>
      </c>
      <c r="E100" s="240" t="s">
        <v>1139</v>
      </c>
      <c r="F100" s="240" t="s">
        <v>199</v>
      </c>
      <c r="G100" s="240" t="s">
        <v>1040</v>
      </c>
      <c r="H100" s="240" t="s">
        <v>925</v>
      </c>
      <c r="I100" s="240" t="s">
        <v>1050</v>
      </c>
    </row>
    <row r="101" spans="1:9" ht="43.5" x14ac:dyDescent="0.35">
      <c r="A101" s="240" t="s">
        <v>140</v>
      </c>
      <c r="B101" s="240" t="s">
        <v>1110</v>
      </c>
      <c r="C101" s="354">
        <v>2023</v>
      </c>
      <c r="D101" s="240" t="s">
        <v>1138</v>
      </c>
      <c r="E101" s="240" t="s">
        <v>1139</v>
      </c>
      <c r="F101" s="240" t="s">
        <v>199</v>
      </c>
      <c r="G101" s="240" t="s">
        <v>683</v>
      </c>
      <c r="H101" s="240" t="s">
        <v>928</v>
      </c>
      <c r="I101" s="240" t="s">
        <v>1050</v>
      </c>
    </row>
    <row r="102" spans="1:9" ht="43.5" x14ac:dyDescent="0.35">
      <c r="A102" s="240" t="s">
        <v>140</v>
      </c>
      <c r="B102" s="240" t="s">
        <v>1112</v>
      </c>
      <c r="C102" s="354">
        <v>2024</v>
      </c>
      <c r="D102" s="240" t="s">
        <v>1138</v>
      </c>
      <c r="E102" s="240" t="s">
        <v>1139</v>
      </c>
      <c r="F102" s="240" t="s">
        <v>199</v>
      </c>
      <c r="G102" s="240" t="s">
        <v>1136</v>
      </c>
      <c r="H102" s="240" t="s">
        <v>864</v>
      </c>
      <c r="I102" s="240" t="s">
        <v>1050</v>
      </c>
    </row>
    <row r="103" spans="1:9" ht="43.5" x14ac:dyDescent="0.35">
      <c r="A103" s="240" t="s">
        <v>152</v>
      </c>
      <c r="B103" s="240" t="s">
        <v>1106</v>
      </c>
      <c r="C103" s="354">
        <v>2022</v>
      </c>
      <c r="D103" s="240" t="s">
        <v>1138</v>
      </c>
      <c r="E103" s="240" t="s">
        <v>1139</v>
      </c>
      <c r="F103" s="240" t="s">
        <v>199</v>
      </c>
      <c r="G103" s="240" t="s">
        <v>1056</v>
      </c>
      <c r="H103" s="240" t="s">
        <v>925</v>
      </c>
      <c r="I103" s="240" t="s">
        <v>1050</v>
      </c>
    </row>
    <row r="104" spans="1:9" ht="43.5" x14ac:dyDescent="0.35">
      <c r="A104" s="240" t="s">
        <v>152</v>
      </c>
      <c r="B104" s="240" t="s">
        <v>1110</v>
      </c>
      <c r="C104" s="354">
        <v>2023</v>
      </c>
      <c r="D104" s="240" t="s">
        <v>1138</v>
      </c>
      <c r="E104" s="240" t="s">
        <v>1139</v>
      </c>
      <c r="F104" s="240" t="s">
        <v>199</v>
      </c>
      <c r="G104" s="240" t="s">
        <v>1057</v>
      </c>
      <c r="H104" s="240" t="s">
        <v>928</v>
      </c>
      <c r="I104" s="240" t="s">
        <v>1050</v>
      </c>
    </row>
    <row r="105" spans="1:9" ht="43.5" x14ac:dyDescent="0.35">
      <c r="A105" s="240" t="s">
        <v>152</v>
      </c>
      <c r="B105" s="240" t="s">
        <v>1112</v>
      </c>
      <c r="C105" s="354">
        <v>2024</v>
      </c>
      <c r="D105" s="240" t="s">
        <v>1138</v>
      </c>
      <c r="E105" s="240" t="s">
        <v>1139</v>
      </c>
      <c r="F105" s="240" t="s">
        <v>199</v>
      </c>
      <c r="G105" s="240" t="s">
        <v>1058</v>
      </c>
      <c r="H105" s="240" t="s">
        <v>864</v>
      </c>
      <c r="I105" s="240" t="s">
        <v>1050</v>
      </c>
    </row>
    <row r="106" spans="1:9" ht="43.5" x14ac:dyDescent="0.35">
      <c r="A106" s="240" t="s">
        <v>416</v>
      </c>
      <c r="B106" s="240" t="s">
        <v>1106</v>
      </c>
      <c r="C106" s="354">
        <v>2022</v>
      </c>
      <c r="D106" s="240" t="s">
        <v>1138</v>
      </c>
      <c r="E106" s="240" t="s">
        <v>1139</v>
      </c>
      <c r="F106" s="240" t="s">
        <v>199</v>
      </c>
      <c r="G106" s="240" t="s">
        <v>1059</v>
      </c>
      <c r="H106" s="240" t="s">
        <v>925</v>
      </c>
      <c r="I106" s="240" t="s">
        <v>1050</v>
      </c>
    </row>
    <row r="107" spans="1:9" ht="43.5" x14ac:dyDescent="0.35">
      <c r="A107" s="240" t="s">
        <v>416</v>
      </c>
      <c r="B107" s="240" t="s">
        <v>1110</v>
      </c>
      <c r="C107" s="354">
        <v>2023</v>
      </c>
      <c r="D107" s="240" t="s">
        <v>1138</v>
      </c>
      <c r="E107" s="240" t="s">
        <v>1139</v>
      </c>
      <c r="F107" s="240" t="s">
        <v>199</v>
      </c>
      <c r="G107" s="240" t="s">
        <v>1060</v>
      </c>
      <c r="H107" s="240" t="s">
        <v>928</v>
      </c>
      <c r="I107" s="240" t="s">
        <v>1050</v>
      </c>
    </row>
    <row r="108" spans="1:9" ht="43.5" x14ac:dyDescent="0.35">
      <c r="A108" s="240" t="s">
        <v>416</v>
      </c>
      <c r="B108" s="240" t="s">
        <v>1112</v>
      </c>
      <c r="C108" s="354">
        <v>2024</v>
      </c>
      <c r="D108" s="240" t="s">
        <v>1138</v>
      </c>
      <c r="E108" s="240" t="s">
        <v>1139</v>
      </c>
      <c r="F108" s="240" t="s">
        <v>199</v>
      </c>
      <c r="G108" s="240" t="s">
        <v>1061</v>
      </c>
      <c r="H108" s="240" t="s">
        <v>864</v>
      </c>
      <c r="I108" s="240" t="s">
        <v>1050</v>
      </c>
    </row>
    <row r="109" spans="1:9" ht="43.5" x14ac:dyDescent="0.35">
      <c r="A109" s="240" t="s">
        <v>417</v>
      </c>
      <c r="B109" s="240" t="s">
        <v>1106</v>
      </c>
      <c r="C109" s="354">
        <v>2022</v>
      </c>
      <c r="D109" s="240" t="s">
        <v>1138</v>
      </c>
      <c r="E109" s="240" t="s">
        <v>1139</v>
      </c>
      <c r="F109" s="240" t="s">
        <v>199</v>
      </c>
      <c r="G109" s="240" t="s">
        <v>1062</v>
      </c>
      <c r="H109" s="240" t="s">
        <v>925</v>
      </c>
      <c r="I109" s="240" t="s">
        <v>1050</v>
      </c>
    </row>
    <row r="110" spans="1:9" ht="43.5" x14ac:dyDescent="0.35">
      <c r="A110" s="240" t="s">
        <v>417</v>
      </c>
      <c r="B110" s="240" t="s">
        <v>1110</v>
      </c>
      <c r="C110" s="354">
        <v>2023</v>
      </c>
      <c r="D110" s="240" t="s">
        <v>1138</v>
      </c>
      <c r="E110" s="240" t="s">
        <v>1139</v>
      </c>
      <c r="F110" s="240" t="s">
        <v>199</v>
      </c>
      <c r="G110" s="240" t="s">
        <v>1063</v>
      </c>
      <c r="H110" s="240" t="s">
        <v>928</v>
      </c>
      <c r="I110" s="240" t="s">
        <v>1050</v>
      </c>
    </row>
    <row r="111" spans="1:9" ht="43.5" x14ac:dyDescent="0.35">
      <c r="A111" s="240" t="s">
        <v>417</v>
      </c>
      <c r="B111" s="240" t="s">
        <v>1112</v>
      </c>
      <c r="C111" s="354">
        <v>2024</v>
      </c>
      <c r="D111" s="240" t="s">
        <v>1138</v>
      </c>
      <c r="E111" s="240" t="s">
        <v>1139</v>
      </c>
      <c r="F111" s="240" t="s">
        <v>199</v>
      </c>
      <c r="G111" s="240" t="s">
        <v>1064</v>
      </c>
      <c r="H111" s="240" t="s">
        <v>864</v>
      </c>
      <c r="I111" s="240" t="s">
        <v>1050</v>
      </c>
    </row>
    <row r="112" spans="1:9" ht="43.5" x14ac:dyDescent="0.35">
      <c r="A112" s="240" t="s">
        <v>418</v>
      </c>
      <c r="B112" s="240" t="s">
        <v>1106</v>
      </c>
      <c r="C112" s="354">
        <v>2022</v>
      </c>
      <c r="D112" s="240" t="s">
        <v>1138</v>
      </c>
      <c r="E112" s="240" t="s">
        <v>1139</v>
      </c>
      <c r="F112" s="240" t="s">
        <v>199</v>
      </c>
      <c r="G112" s="240" t="s">
        <v>1140</v>
      </c>
      <c r="H112" s="240" t="s">
        <v>925</v>
      </c>
      <c r="I112" s="240" t="s">
        <v>1050</v>
      </c>
    </row>
    <row r="113" spans="1:9" ht="43.5" x14ac:dyDescent="0.35">
      <c r="A113" s="240" t="s">
        <v>418</v>
      </c>
      <c r="B113" s="240" t="s">
        <v>1110</v>
      </c>
      <c r="C113" s="354">
        <v>2023</v>
      </c>
      <c r="D113" s="240" t="s">
        <v>1138</v>
      </c>
      <c r="E113" s="240" t="s">
        <v>1139</v>
      </c>
      <c r="F113" s="240" t="s">
        <v>199</v>
      </c>
      <c r="G113" s="240" t="s">
        <v>1141</v>
      </c>
      <c r="H113" s="240" t="s">
        <v>928</v>
      </c>
      <c r="I113" s="240" t="s">
        <v>1050</v>
      </c>
    </row>
    <row r="114" spans="1:9" ht="43.5" x14ac:dyDescent="0.35">
      <c r="A114" s="240" t="s">
        <v>418</v>
      </c>
      <c r="B114" s="240" t="s">
        <v>1112</v>
      </c>
      <c r="C114" s="354">
        <v>2024</v>
      </c>
      <c r="D114" s="240" t="s">
        <v>1138</v>
      </c>
      <c r="E114" s="240" t="s">
        <v>1139</v>
      </c>
      <c r="F114" s="240" t="s">
        <v>199</v>
      </c>
      <c r="G114" s="240" t="s">
        <v>1142</v>
      </c>
      <c r="H114" s="240" t="s">
        <v>864</v>
      </c>
      <c r="I114" s="240" t="s">
        <v>1050</v>
      </c>
    </row>
    <row r="115" spans="1:9" ht="29" x14ac:dyDescent="0.35">
      <c r="A115" s="240" t="s">
        <v>1187</v>
      </c>
      <c r="B115" s="240" t="s">
        <v>1188</v>
      </c>
      <c r="C115" s="354">
        <v>2022</v>
      </c>
      <c r="D115" s="240" t="s">
        <v>1189</v>
      </c>
      <c r="E115" s="240" t="s">
        <v>1190</v>
      </c>
      <c r="F115" s="240" t="s">
        <v>194</v>
      </c>
      <c r="G115" s="240" t="s">
        <v>1191</v>
      </c>
      <c r="H115" s="240" t="s">
        <v>1192</v>
      </c>
      <c r="I115" s="240" t="s">
        <v>1193</v>
      </c>
    </row>
    <row r="116" spans="1:9" ht="29" x14ac:dyDescent="0.35">
      <c r="A116" s="240" t="s">
        <v>1187</v>
      </c>
      <c r="B116" s="240" t="s">
        <v>1194</v>
      </c>
      <c r="C116" s="354">
        <v>2023</v>
      </c>
      <c r="D116" s="240" t="s">
        <v>1189</v>
      </c>
      <c r="E116" s="240" t="s">
        <v>1190</v>
      </c>
      <c r="F116" s="240" t="s">
        <v>194</v>
      </c>
      <c r="G116" s="240" t="s">
        <v>1195</v>
      </c>
      <c r="H116" s="240" t="s">
        <v>1192</v>
      </c>
      <c r="I116" s="240" t="s">
        <v>1193</v>
      </c>
    </row>
    <row r="117" spans="1:9" ht="29" x14ac:dyDescent="0.35">
      <c r="A117" s="240" t="s">
        <v>1187</v>
      </c>
      <c r="B117" s="240" t="s">
        <v>1196</v>
      </c>
      <c r="C117" s="354">
        <v>2024</v>
      </c>
      <c r="D117" s="240" t="s">
        <v>1189</v>
      </c>
      <c r="E117" s="240" t="s">
        <v>1190</v>
      </c>
      <c r="F117" s="240" t="s">
        <v>194</v>
      </c>
      <c r="G117" s="240" t="s">
        <v>1197</v>
      </c>
      <c r="H117" s="240" t="s">
        <v>865</v>
      </c>
      <c r="I117" s="240" t="s">
        <v>1193</v>
      </c>
    </row>
  </sheetData>
  <mergeCells count="3">
    <mergeCell ref="A1:I1"/>
    <mergeCell ref="A2:I2"/>
    <mergeCell ref="A4:I4"/>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804B2-43A0-4FCE-9BD2-E94D20BA9287}">
  <sheetPr>
    <tabColor rgb="FF2F75B5"/>
  </sheetPr>
  <dimension ref="A1:F12"/>
  <sheetViews>
    <sheetView showGridLines="0" workbookViewId="0">
      <selection activeCell="A19" sqref="A19:B19"/>
    </sheetView>
  </sheetViews>
  <sheetFormatPr defaultRowHeight="14.5" x14ac:dyDescent="0.35"/>
  <cols>
    <col min="1" max="1" width="26.81640625" bestFit="1" customWidth="1"/>
    <col min="2" max="2" width="17.26953125" customWidth="1"/>
    <col min="3" max="3" width="17.08984375" bestFit="1" customWidth="1"/>
    <col min="4" max="4" width="11.90625" bestFit="1" customWidth="1"/>
    <col min="5" max="5" width="20.36328125" bestFit="1" customWidth="1"/>
    <col min="6" max="6" width="36.36328125" customWidth="1"/>
  </cols>
  <sheetData>
    <row r="1" spans="1:6" ht="23.5" x14ac:dyDescent="0.55000000000000004">
      <c r="A1" s="249" t="s">
        <v>657</v>
      </c>
      <c r="B1" s="249"/>
      <c r="C1" s="249"/>
      <c r="D1" s="249"/>
      <c r="E1" s="249"/>
      <c r="F1" s="249"/>
    </row>
    <row r="2" spans="1:6" x14ac:dyDescent="0.35">
      <c r="A2" s="250" t="s">
        <v>658</v>
      </c>
      <c r="B2" s="250"/>
      <c r="C2" s="250"/>
      <c r="D2" s="250"/>
      <c r="E2" s="250"/>
      <c r="F2" s="250"/>
    </row>
    <row r="4" spans="1:6" x14ac:dyDescent="0.35">
      <c r="A4" s="251" t="s">
        <v>659</v>
      </c>
      <c r="B4" s="251"/>
      <c r="C4" s="251"/>
      <c r="D4" s="251"/>
      <c r="E4" s="251"/>
      <c r="F4" s="251"/>
    </row>
    <row r="6" spans="1:6" x14ac:dyDescent="0.35">
      <c r="A6" t="s">
        <v>688</v>
      </c>
      <c r="B6" t="s">
        <v>689</v>
      </c>
      <c r="C6" t="s">
        <v>690</v>
      </c>
      <c r="D6" t="s">
        <v>691</v>
      </c>
      <c r="E6" t="s">
        <v>692</v>
      </c>
      <c r="F6" t="s">
        <v>693</v>
      </c>
    </row>
    <row r="7" spans="1:6" ht="72.5" x14ac:dyDescent="0.35">
      <c r="A7" t="s">
        <v>694</v>
      </c>
      <c r="B7" s="6">
        <v>50419</v>
      </c>
      <c r="C7" s="6">
        <v>45430</v>
      </c>
      <c r="D7" s="241">
        <f>C7-B7</f>
        <v>-4989</v>
      </c>
      <c r="E7" t="str">
        <f t="shared" ref="E7:E10" si="0">IF(ABS(D7)&gt;=25,"Yes","No")</f>
        <v>Yes</v>
      </c>
      <c r="F7" s="240" t="s">
        <v>902</v>
      </c>
    </row>
    <row r="8" spans="1:6" ht="29" x14ac:dyDescent="0.35">
      <c r="A8" t="s">
        <v>696</v>
      </c>
      <c r="B8" s="6">
        <v>15566</v>
      </c>
      <c r="C8" s="6">
        <v>15566</v>
      </c>
      <c r="D8" s="241">
        <f t="shared" ref="D8:D10" si="1">C8-B8</f>
        <v>0</v>
      </c>
      <c r="E8" t="str">
        <f t="shared" si="0"/>
        <v>No</v>
      </c>
      <c r="F8" s="240" t="s">
        <v>695</v>
      </c>
    </row>
    <row r="9" spans="1:6" ht="58" x14ac:dyDescent="0.35">
      <c r="A9" t="s">
        <v>219</v>
      </c>
      <c r="B9" s="6">
        <v>10196</v>
      </c>
      <c r="C9" s="6">
        <v>9848</v>
      </c>
      <c r="D9" s="241">
        <f t="shared" si="1"/>
        <v>-348</v>
      </c>
      <c r="E9" t="str">
        <f t="shared" si="0"/>
        <v>Yes</v>
      </c>
      <c r="F9" s="240" t="s">
        <v>1146</v>
      </c>
    </row>
    <row r="10" spans="1:6" ht="29" x14ac:dyDescent="0.35">
      <c r="A10" t="s">
        <v>218</v>
      </c>
      <c r="B10" s="6">
        <v>2965</v>
      </c>
      <c r="C10" s="6">
        <v>3003</v>
      </c>
      <c r="D10" s="241">
        <f>C10-B10</f>
        <v>38</v>
      </c>
      <c r="E10" t="str">
        <f t="shared" si="0"/>
        <v>Yes</v>
      </c>
      <c r="F10" s="240" t="s">
        <v>903</v>
      </c>
    </row>
    <row r="12" spans="1:6" x14ac:dyDescent="0.35">
      <c r="A12" s="318" t="s">
        <v>1147</v>
      </c>
      <c r="B12" s="318"/>
      <c r="C12" s="318"/>
      <c r="D12" s="318"/>
      <c r="E12" s="318"/>
      <c r="F12" s="318"/>
    </row>
  </sheetData>
  <mergeCells count="4">
    <mergeCell ref="A1:F1"/>
    <mergeCell ref="A2:F2"/>
    <mergeCell ref="A4:F4"/>
    <mergeCell ref="A12:F12"/>
  </mergeCell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9AB77-47AB-4DA7-BC2C-32D03E6C65D9}">
  <sheetPr>
    <tabColor rgb="FF2F75B5"/>
  </sheetPr>
  <dimension ref="A1:E25"/>
  <sheetViews>
    <sheetView showGridLines="0" workbookViewId="0">
      <selection activeCell="A19" sqref="A19:B19"/>
    </sheetView>
  </sheetViews>
  <sheetFormatPr defaultRowHeight="14.5" x14ac:dyDescent="0.35"/>
  <cols>
    <col min="1" max="1" width="23.6328125" customWidth="1"/>
    <col min="2" max="2" width="32.7265625" customWidth="1"/>
    <col min="3" max="3" width="29.08984375" customWidth="1"/>
    <col min="4" max="4" width="25.453125" customWidth="1"/>
    <col min="5" max="5" width="29.08984375" customWidth="1"/>
  </cols>
  <sheetData>
    <row r="1" spans="1:5" ht="23.5" x14ac:dyDescent="0.55000000000000004">
      <c r="A1" s="249" t="s">
        <v>660</v>
      </c>
      <c r="B1" s="249"/>
      <c r="C1" s="249"/>
      <c r="D1" s="249"/>
      <c r="E1" s="249"/>
    </row>
    <row r="2" spans="1:5" x14ac:dyDescent="0.35">
      <c r="A2" s="250" t="s">
        <v>661</v>
      </c>
      <c r="B2" s="250"/>
      <c r="C2" s="250"/>
      <c r="D2" s="250"/>
      <c r="E2" s="250"/>
    </row>
    <row r="4" spans="1:5" x14ac:dyDescent="0.35">
      <c r="A4" s="251" t="s">
        <v>662</v>
      </c>
      <c r="B4" s="251"/>
      <c r="C4" s="251"/>
      <c r="D4" s="251"/>
      <c r="E4" s="251"/>
    </row>
    <row r="6" spans="1:5" x14ac:dyDescent="0.35">
      <c r="A6" t="s">
        <v>697</v>
      </c>
      <c r="B6" t="s">
        <v>698</v>
      </c>
      <c r="C6" t="s">
        <v>699</v>
      </c>
      <c r="D6" t="s">
        <v>700</v>
      </c>
      <c r="E6" t="s">
        <v>701</v>
      </c>
    </row>
    <row r="7" spans="1:5" ht="29" x14ac:dyDescent="0.35">
      <c r="A7" s="240" t="s">
        <v>450</v>
      </c>
      <c r="B7" s="240" t="s">
        <v>326</v>
      </c>
      <c r="C7" s="240" t="s">
        <v>702</v>
      </c>
      <c r="D7" s="240" t="s">
        <v>703</v>
      </c>
      <c r="E7" s="240" t="s">
        <v>704</v>
      </c>
    </row>
    <row r="8" spans="1:5" ht="29" x14ac:dyDescent="0.35">
      <c r="A8" s="240" t="s">
        <v>451</v>
      </c>
      <c r="B8" s="240" t="s">
        <v>327</v>
      </c>
      <c r="C8" s="240" t="s">
        <v>705</v>
      </c>
      <c r="D8" s="240" t="s">
        <v>703</v>
      </c>
      <c r="E8" s="240" t="s">
        <v>706</v>
      </c>
    </row>
    <row r="9" spans="1:5" ht="29" x14ac:dyDescent="0.35">
      <c r="A9" s="240" t="s">
        <v>707</v>
      </c>
      <c r="B9" s="240" t="s">
        <v>328</v>
      </c>
      <c r="C9" s="240" t="s">
        <v>708</v>
      </c>
      <c r="D9" s="240" t="s">
        <v>709</v>
      </c>
      <c r="E9" s="240" t="s">
        <v>710</v>
      </c>
    </row>
    <row r="10" spans="1:5" ht="29" x14ac:dyDescent="0.35">
      <c r="A10" s="240" t="s">
        <v>711</v>
      </c>
      <c r="B10" s="240" t="s">
        <v>329</v>
      </c>
      <c r="C10" s="240" t="s">
        <v>712</v>
      </c>
      <c r="D10" s="240" t="s">
        <v>713</v>
      </c>
      <c r="E10" s="240" t="s">
        <v>714</v>
      </c>
    </row>
    <row r="11" spans="1:5" ht="29" x14ac:dyDescent="0.35">
      <c r="A11" s="240" t="s">
        <v>715</v>
      </c>
      <c r="B11" s="240" t="s">
        <v>716</v>
      </c>
      <c r="C11" s="240" t="s">
        <v>717</v>
      </c>
      <c r="D11" s="240" t="s">
        <v>703</v>
      </c>
      <c r="E11" s="240" t="s">
        <v>718</v>
      </c>
    </row>
    <row r="12" spans="1:5" ht="43.5" x14ac:dyDescent="0.35">
      <c r="A12" s="240" t="s">
        <v>6</v>
      </c>
      <c r="B12" s="240" t="s">
        <v>1014</v>
      </c>
      <c r="C12" s="240" t="s">
        <v>719</v>
      </c>
      <c r="D12" s="240" t="s">
        <v>720</v>
      </c>
      <c r="E12" s="240" t="s">
        <v>1015</v>
      </c>
    </row>
    <row r="13" spans="1:5" ht="29" x14ac:dyDescent="0.35">
      <c r="A13" s="240" t="s">
        <v>684</v>
      </c>
      <c r="B13" s="240" t="s">
        <v>721</v>
      </c>
      <c r="C13" s="240" t="s">
        <v>722</v>
      </c>
      <c r="D13" s="240" t="s">
        <v>723</v>
      </c>
      <c r="E13" s="240" t="s">
        <v>724</v>
      </c>
    </row>
    <row r="14" spans="1:5" ht="29" x14ac:dyDescent="0.35">
      <c r="A14" s="240" t="s">
        <v>685</v>
      </c>
      <c r="B14" s="240" t="s">
        <v>350</v>
      </c>
      <c r="C14" s="240" t="s">
        <v>725</v>
      </c>
      <c r="D14" s="240" t="s">
        <v>726</v>
      </c>
      <c r="E14" s="240" t="s">
        <v>724</v>
      </c>
    </row>
    <row r="15" spans="1:5" ht="29" x14ac:dyDescent="0.35">
      <c r="A15" s="240" t="s">
        <v>391</v>
      </c>
      <c r="B15" s="240" t="s">
        <v>727</v>
      </c>
      <c r="C15" s="240" t="s">
        <v>728</v>
      </c>
      <c r="D15" s="240" t="s">
        <v>729</v>
      </c>
      <c r="E15" s="240" t="s">
        <v>730</v>
      </c>
    </row>
    <row r="16" spans="1:5" ht="29" x14ac:dyDescent="0.35">
      <c r="A16" s="240" t="s">
        <v>5</v>
      </c>
      <c r="B16" s="240" t="s">
        <v>369</v>
      </c>
      <c r="C16" s="240" t="s">
        <v>731</v>
      </c>
      <c r="D16" s="240" t="s">
        <v>729</v>
      </c>
      <c r="E16" s="240" t="s">
        <v>732</v>
      </c>
    </row>
    <row r="17" spans="1:5" ht="29" x14ac:dyDescent="0.35">
      <c r="A17" s="240" t="s">
        <v>151</v>
      </c>
      <c r="B17" s="240" t="s">
        <v>733</v>
      </c>
      <c r="C17" s="240" t="s">
        <v>734</v>
      </c>
      <c r="D17" s="240" t="s">
        <v>735</v>
      </c>
      <c r="E17" s="240" t="s">
        <v>736</v>
      </c>
    </row>
    <row r="18" spans="1:5" ht="29" x14ac:dyDescent="0.35">
      <c r="A18" s="240" t="s">
        <v>140</v>
      </c>
      <c r="B18" s="240" t="s">
        <v>737</v>
      </c>
      <c r="C18" s="240" t="s">
        <v>738</v>
      </c>
      <c r="D18" s="240" t="s">
        <v>739</v>
      </c>
      <c r="E18" s="240" t="s">
        <v>740</v>
      </c>
    </row>
    <row r="19" spans="1:5" x14ac:dyDescent="0.35">
      <c r="A19" s="240"/>
      <c r="B19" s="240"/>
      <c r="C19" s="240"/>
      <c r="D19" s="240"/>
      <c r="E19" s="240"/>
    </row>
    <row r="20" spans="1:5" x14ac:dyDescent="0.35">
      <c r="A20" s="240"/>
      <c r="B20" s="240"/>
      <c r="C20" s="240"/>
      <c r="D20" s="240"/>
      <c r="E20" s="240"/>
    </row>
    <row r="21" spans="1:5" x14ac:dyDescent="0.35">
      <c r="A21" s="240"/>
      <c r="B21" s="240"/>
      <c r="C21" s="240"/>
      <c r="D21" s="240"/>
      <c r="E21" s="240"/>
    </row>
    <row r="22" spans="1:5" x14ac:dyDescent="0.35">
      <c r="A22" s="240"/>
      <c r="B22" s="240"/>
      <c r="C22" s="240"/>
      <c r="D22" s="240"/>
      <c r="E22" s="240"/>
    </row>
    <row r="23" spans="1:5" x14ac:dyDescent="0.35">
      <c r="A23" s="240"/>
      <c r="B23" s="240"/>
      <c r="C23" s="240"/>
      <c r="D23" s="240"/>
      <c r="E23" s="240"/>
    </row>
    <row r="24" spans="1:5" x14ac:dyDescent="0.35">
      <c r="A24" s="240"/>
      <c r="B24" s="240"/>
      <c r="C24" s="240"/>
      <c r="D24" s="240"/>
      <c r="E24" s="240"/>
    </row>
    <row r="25" spans="1:5" x14ac:dyDescent="0.35">
      <c r="A25" s="240"/>
      <c r="B25" s="240"/>
      <c r="C25" s="240"/>
      <c r="D25" s="240"/>
      <c r="E25" s="240"/>
    </row>
  </sheetData>
  <mergeCells count="3">
    <mergeCell ref="A1:E1"/>
    <mergeCell ref="A2:E2"/>
    <mergeCell ref="A4:E4"/>
  </mergeCell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772BD-08A0-4A0B-BBF4-A6B447B9E451}">
  <sheetPr>
    <tabColor rgb="FF2F75B5"/>
  </sheetPr>
  <dimension ref="A1:E19"/>
  <sheetViews>
    <sheetView showGridLines="0" topLeftCell="A11" workbookViewId="0">
      <selection activeCell="A19" sqref="A19:B19"/>
    </sheetView>
  </sheetViews>
  <sheetFormatPr defaultRowHeight="14.5" x14ac:dyDescent="0.35"/>
  <cols>
    <col min="1" max="1" width="25.453125" customWidth="1"/>
    <col min="2" max="2" width="32.7265625" customWidth="1"/>
    <col min="3" max="3" width="14.54296875" customWidth="1"/>
    <col min="4" max="4" width="27.26953125" customWidth="1"/>
    <col min="5" max="5" width="28.54296875" bestFit="1" customWidth="1"/>
  </cols>
  <sheetData>
    <row r="1" spans="1:5" ht="23.5" x14ac:dyDescent="0.55000000000000004">
      <c r="A1" s="249" t="s">
        <v>663</v>
      </c>
      <c r="B1" s="249"/>
      <c r="C1" s="249"/>
      <c r="D1" s="249"/>
      <c r="E1" s="249"/>
    </row>
    <row r="2" spans="1:5" x14ac:dyDescent="0.35">
      <c r="A2" s="250" t="s">
        <v>664</v>
      </c>
      <c r="B2" s="250"/>
      <c r="C2" s="250"/>
      <c r="D2" s="250"/>
      <c r="E2" s="250"/>
    </row>
    <row r="4" spans="1:5" x14ac:dyDescent="0.35">
      <c r="A4" s="251" t="s">
        <v>665</v>
      </c>
      <c r="B4" s="251"/>
      <c r="C4" s="251"/>
      <c r="D4" s="251"/>
      <c r="E4" s="251"/>
    </row>
    <row r="6" spans="1:5" x14ac:dyDescent="0.35">
      <c r="A6" t="s">
        <v>741</v>
      </c>
      <c r="B6" t="s">
        <v>742</v>
      </c>
      <c r="C6" t="s">
        <v>743</v>
      </c>
      <c r="D6" t="s">
        <v>700</v>
      </c>
      <c r="E6" t="s">
        <v>693</v>
      </c>
    </row>
    <row r="7" spans="1:5" ht="43.5" x14ac:dyDescent="0.35">
      <c r="A7" s="240" t="s">
        <v>744</v>
      </c>
      <c r="B7" s="240" t="s">
        <v>745</v>
      </c>
      <c r="C7" s="240" t="s">
        <v>746</v>
      </c>
      <c r="D7" s="240" t="s">
        <v>747</v>
      </c>
      <c r="E7" s="240" t="s">
        <v>748</v>
      </c>
    </row>
    <row r="8" spans="1:5" ht="29" x14ac:dyDescent="0.35">
      <c r="A8" s="240" t="s">
        <v>749</v>
      </c>
      <c r="B8" s="240" t="s">
        <v>750</v>
      </c>
      <c r="C8" s="240" t="s">
        <v>746</v>
      </c>
      <c r="D8" s="240" t="s">
        <v>747</v>
      </c>
      <c r="E8" s="240" t="s">
        <v>751</v>
      </c>
    </row>
    <row r="9" spans="1:5" ht="29" x14ac:dyDescent="0.35">
      <c r="A9" s="240" t="s">
        <v>752</v>
      </c>
      <c r="B9" s="240" t="s">
        <v>753</v>
      </c>
      <c r="C9" s="240" t="s">
        <v>746</v>
      </c>
      <c r="D9" s="240" t="s">
        <v>754</v>
      </c>
      <c r="E9" s="240" t="s">
        <v>755</v>
      </c>
    </row>
    <row r="10" spans="1:5" ht="29" x14ac:dyDescent="0.35">
      <c r="A10" s="240" t="s">
        <v>756</v>
      </c>
      <c r="B10" s="240" t="s">
        <v>757</v>
      </c>
      <c r="C10" s="240" t="s">
        <v>746</v>
      </c>
      <c r="D10" s="240" t="s">
        <v>758</v>
      </c>
      <c r="E10" s="240" t="s">
        <v>759</v>
      </c>
    </row>
    <row r="11" spans="1:5" ht="29" x14ac:dyDescent="0.35">
      <c r="A11" s="240" t="s">
        <v>391</v>
      </c>
      <c r="B11" s="240" t="s">
        <v>760</v>
      </c>
      <c r="C11" s="240" t="s">
        <v>761</v>
      </c>
      <c r="D11" s="240" t="s">
        <v>758</v>
      </c>
      <c r="E11" s="240" t="s">
        <v>762</v>
      </c>
    </row>
    <row r="12" spans="1:5" ht="43.5" x14ac:dyDescent="0.35">
      <c r="A12" s="240" t="s">
        <v>416</v>
      </c>
      <c r="B12" s="240" t="s">
        <v>763</v>
      </c>
      <c r="C12" s="240" t="s">
        <v>746</v>
      </c>
      <c r="D12" s="240" t="s">
        <v>764</v>
      </c>
      <c r="E12" s="240" t="s">
        <v>765</v>
      </c>
    </row>
    <row r="13" spans="1:5" ht="29" x14ac:dyDescent="0.35">
      <c r="A13" s="240" t="s">
        <v>417</v>
      </c>
      <c r="B13" s="240" t="s">
        <v>766</v>
      </c>
      <c r="C13" s="240" t="s">
        <v>746</v>
      </c>
      <c r="D13" s="240" t="s">
        <v>764</v>
      </c>
      <c r="E13" s="240" t="s">
        <v>767</v>
      </c>
    </row>
    <row r="14" spans="1:5" ht="29" x14ac:dyDescent="0.35">
      <c r="A14" s="240" t="s">
        <v>768</v>
      </c>
      <c r="B14" s="240" t="s">
        <v>769</v>
      </c>
      <c r="C14" s="240" t="s">
        <v>746</v>
      </c>
      <c r="D14" s="240" t="s">
        <v>764</v>
      </c>
      <c r="E14" s="240" t="s">
        <v>770</v>
      </c>
    </row>
    <row r="15" spans="1:5" ht="29" x14ac:dyDescent="0.35">
      <c r="A15" s="240" t="s">
        <v>684</v>
      </c>
      <c r="B15" s="240" t="s">
        <v>771</v>
      </c>
      <c r="C15" s="240" t="s">
        <v>772</v>
      </c>
      <c r="D15" s="240" t="s">
        <v>754</v>
      </c>
      <c r="E15" s="240" t="s">
        <v>773</v>
      </c>
    </row>
    <row r="16" spans="1:5" ht="29" x14ac:dyDescent="0.35">
      <c r="A16" s="240" t="s">
        <v>685</v>
      </c>
      <c r="B16" s="240" t="s">
        <v>774</v>
      </c>
      <c r="C16" s="240" t="s">
        <v>772</v>
      </c>
      <c r="D16" s="240" t="s">
        <v>754</v>
      </c>
      <c r="E16" s="240" t="s">
        <v>773</v>
      </c>
    </row>
    <row r="17" spans="1:5" ht="29" x14ac:dyDescent="0.35">
      <c r="A17" s="240" t="s">
        <v>6</v>
      </c>
      <c r="B17" s="240" t="s">
        <v>1016</v>
      </c>
      <c r="C17" s="240" t="s">
        <v>1017</v>
      </c>
      <c r="D17" s="240" t="s">
        <v>1018</v>
      </c>
      <c r="E17" s="240" t="s">
        <v>1019</v>
      </c>
    </row>
    <row r="18" spans="1:5" ht="43.5" x14ac:dyDescent="0.35">
      <c r="A18" s="240" t="s">
        <v>905</v>
      </c>
      <c r="B18" s="240" t="s">
        <v>1020</v>
      </c>
      <c r="C18" s="240" t="s">
        <v>746</v>
      </c>
      <c r="D18" s="240" t="s">
        <v>747</v>
      </c>
      <c r="E18" s="240" t="s">
        <v>1021</v>
      </c>
    </row>
    <row r="19" spans="1:5" ht="29" x14ac:dyDescent="0.35">
      <c r="A19" s="240" t="s">
        <v>1022</v>
      </c>
      <c r="B19" s="240" t="s">
        <v>1023</v>
      </c>
      <c r="C19" s="240" t="s">
        <v>746</v>
      </c>
      <c r="D19" s="240" t="s">
        <v>1024</v>
      </c>
      <c r="E19" s="240" t="s">
        <v>1025</v>
      </c>
    </row>
  </sheetData>
  <mergeCells count="3">
    <mergeCell ref="A1:E1"/>
    <mergeCell ref="A2:E2"/>
    <mergeCell ref="A4:E4"/>
  </mergeCell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4E36C-4A30-4E31-AAFC-72E93EE479F7}">
  <sheetPr>
    <tabColor rgb="FF2F75B5"/>
  </sheetPr>
  <dimension ref="A1:E19"/>
  <sheetViews>
    <sheetView showGridLines="0" topLeftCell="A7" workbookViewId="0">
      <selection activeCell="D22" sqref="D22"/>
    </sheetView>
  </sheetViews>
  <sheetFormatPr defaultRowHeight="14.5" x14ac:dyDescent="0.35"/>
  <cols>
    <col min="1" max="1" width="19.08984375" customWidth="1"/>
    <col min="2" max="2" width="16.36328125" customWidth="1"/>
    <col min="3" max="3" width="34.54296875" customWidth="1"/>
    <col min="4" max="4" width="14.54296875" customWidth="1"/>
    <col min="5" max="5" width="34.54296875" customWidth="1"/>
  </cols>
  <sheetData>
    <row r="1" spans="1:5" ht="23.5" x14ac:dyDescent="0.55000000000000004">
      <c r="A1" s="249" t="s">
        <v>666</v>
      </c>
      <c r="B1" s="249"/>
      <c r="C1" s="249"/>
      <c r="D1" s="249"/>
      <c r="E1" s="249"/>
    </row>
    <row r="2" spans="1:5" x14ac:dyDescent="0.35">
      <c r="A2" s="250" t="s">
        <v>667</v>
      </c>
      <c r="B2" s="250"/>
      <c r="C2" s="250"/>
      <c r="D2" s="250"/>
      <c r="E2" s="250"/>
    </row>
    <row r="4" spans="1:5" x14ac:dyDescent="0.35">
      <c r="A4" s="251" t="s">
        <v>668</v>
      </c>
      <c r="B4" s="251"/>
      <c r="C4" s="251"/>
      <c r="D4" s="251"/>
      <c r="E4" s="251"/>
    </row>
    <row r="6" spans="1:5" x14ac:dyDescent="0.35">
      <c r="A6" t="s">
        <v>775</v>
      </c>
      <c r="B6" t="s">
        <v>776</v>
      </c>
      <c r="C6" t="s">
        <v>700</v>
      </c>
      <c r="D6" t="s">
        <v>777</v>
      </c>
      <c r="E6" t="s">
        <v>701</v>
      </c>
    </row>
    <row r="7" spans="1:5" ht="29" x14ac:dyDescent="0.35">
      <c r="A7" t="s">
        <v>450</v>
      </c>
      <c r="B7" s="242">
        <v>0.1011</v>
      </c>
      <c r="C7" s="240" t="s">
        <v>778</v>
      </c>
      <c r="D7" t="s">
        <v>779</v>
      </c>
      <c r="E7" s="240" t="s">
        <v>780</v>
      </c>
    </row>
    <row r="8" spans="1:5" ht="29" x14ac:dyDescent="0.35">
      <c r="A8" t="s">
        <v>711</v>
      </c>
      <c r="B8" s="242">
        <v>1.61E-2</v>
      </c>
      <c r="C8" s="240" t="s">
        <v>778</v>
      </c>
      <c r="D8" t="s">
        <v>779</v>
      </c>
      <c r="E8" s="240" t="s">
        <v>781</v>
      </c>
    </row>
    <row r="9" spans="1:5" ht="29" x14ac:dyDescent="0.35">
      <c r="A9" t="s">
        <v>151</v>
      </c>
      <c r="B9" s="242">
        <v>2.3E-2</v>
      </c>
      <c r="C9" s="240" t="s">
        <v>778</v>
      </c>
      <c r="D9" t="s">
        <v>779</v>
      </c>
      <c r="E9" s="240" t="s">
        <v>782</v>
      </c>
    </row>
    <row r="10" spans="1:5" ht="29" x14ac:dyDescent="0.35">
      <c r="A10" t="s">
        <v>224</v>
      </c>
      <c r="B10" s="242">
        <v>0.15809999999999999</v>
      </c>
      <c r="C10" s="240" t="s">
        <v>778</v>
      </c>
      <c r="D10" t="s">
        <v>779</v>
      </c>
      <c r="E10" s="240" t="s">
        <v>783</v>
      </c>
    </row>
    <row r="11" spans="1:5" ht="29" x14ac:dyDescent="0.35">
      <c r="A11" t="s">
        <v>6</v>
      </c>
      <c r="B11" s="243">
        <v>47</v>
      </c>
      <c r="C11" s="240" t="s">
        <v>778</v>
      </c>
      <c r="D11" t="s">
        <v>779</v>
      </c>
      <c r="E11" s="240" t="s">
        <v>784</v>
      </c>
    </row>
    <row r="12" spans="1:5" x14ac:dyDescent="0.35">
      <c r="A12" t="s">
        <v>450</v>
      </c>
      <c r="B12" s="242">
        <v>0.111</v>
      </c>
      <c r="C12" s="240" t="s">
        <v>785</v>
      </c>
      <c r="D12" t="s">
        <v>786</v>
      </c>
      <c r="E12" s="240" t="s">
        <v>787</v>
      </c>
    </row>
    <row r="13" spans="1:5" x14ac:dyDescent="0.35">
      <c r="A13" t="s">
        <v>711</v>
      </c>
      <c r="B13" s="242">
        <v>1.66E-2</v>
      </c>
      <c r="C13" s="240" t="s">
        <v>785</v>
      </c>
      <c r="D13" t="s">
        <v>786</v>
      </c>
      <c r="E13" s="240" t="s">
        <v>788</v>
      </c>
    </row>
    <row r="14" spans="1:5" x14ac:dyDescent="0.35">
      <c r="A14" t="s">
        <v>151</v>
      </c>
      <c r="B14" s="242">
        <v>1.8800000000000001E-2</v>
      </c>
      <c r="C14" s="240" t="s">
        <v>785</v>
      </c>
      <c r="D14" t="s">
        <v>786</v>
      </c>
      <c r="E14" s="240" t="s">
        <v>788</v>
      </c>
    </row>
    <row r="15" spans="1:5" x14ac:dyDescent="0.35">
      <c r="A15" t="s">
        <v>224</v>
      </c>
      <c r="B15" s="242">
        <v>0.16</v>
      </c>
      <c r="C15" s="240" t="s">
        <v>785</v>
      </c>
      <c r="D15" t="s">
        <v>786</v>
      </c>
      <c r="E15" s="240" t="s">
        <v>789</v>
      </c>
    </row>
    <row r="16" spans="1:5" ht="29" x14ac:dyDescent="0.35">
      <c r="A16" t="s">
        <v>684</v>
      </c>
      <c r="B16" s="242">
        <v>1.6140000000000001</v>
      </c>
      <c r="C16" s="240" t="s">
        <v>785</v>
      </c>
      <c r="D16" t="s">
        <v>786</v>
      </c>
      <c r="E16" s="240" t="s">
        <v>790</v>
      </c>
    </row>
    <row r="17" spans="1:5" ht="29" x14ac:dyDescent="0.35">
      <c r="A17" t="s">
        <v>685</v>
      </c>
      <c r="B17" s="242">
        <v>1.272</v>
      </c>
      <c r="C17" s="240" t="s">
        <v>785</v>
      </c>
      <c r="D17" t="s">
        <v>786</v>
      </c>
      <c r="E17" s="240" t="s">
        <v>790</v>
      </c>
    </row>
    <row r="18" spans="1:5" ht="29" x14ac:dyDescent="0.35">
      <c r="A18" t="s">
        <v>461</v>
      </c>
      <c r="B18" s="242">
        <v>0.66</v>
      </c>
      <c r="C18" s="240" t="s">
        <v>791</v>
      </c>
      <c r="D18" t="s">
        <v>792</v>
      </c>
      <c r="E18" s="240" t="s">
        <v>793</v>
      </c>
    </row>
    <row r="19" spans="1:5" ht="29" x14ac:dyDescent="0.35">
      <c r="A19" t="s">
        <v>794</v>
      </c>
      <c r="B19" t="s">
        <v>795</v>
      </c>
      <c r="C19" s="240" t="s">
        <v>796</v>
      </c>
      <c r="D19" s="240" t="s">
        <v>797</v>
      </c>
      <c r="E19" s="240" t="s">
        <v>798</v>
      </c>
    </row>
  </sheetData>
  <mergeCells count="3">
    <mergeCell ref="A1:E1"/>
    <mergeCell ref="A2:E2"/>
    <mergeCell ref="A4:E4"/>
  </mergeCell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C107-E9BD-4643-9A28-48B225C496CB}">
  <sheetPr>
    <tabColor rgb="FF2F75B5"/>
  </sheetPr>
  <dimension ref="A1:B22"/>
  <sheetViews>
    <sheetView showGridLines="0" topLeftCell="A15" workbookViewId="0">
      <selection activeCell="E22" sqref="E22"/>
    </sheetView>
  </sheetViews>
  <sheetFormatPr defaultRowHeight="14.5" x14ac:dyDescent="0.35"/>
  <cols>
    <col min="1" max="1" width="25.6328125" bestFit="1" customWidth="1"/>
    <col min="2" max="2" width="36.36328125" customWidth="1"/>
  </cols>
  <sheetData>
    <row r="1" spans="1:2" ht="23.5" x14ac:dyDescent="0.55000000000000004">
      <c r="A1" s="249" t="s">
        <v>669</v>
      </c>
      <c r="B1" s="249"/>
    </row>
    <row r="2" spans="1:2" x14ac:dyDescent="0.35">
      <c r="A2" s="250" t="s">
        <v>670</v>
      </c>
      <c r="B2" s="250"/>
    </row>
    <row r="4" spans="1:2" x14ac:dyDescent="0.35">
      <c r="A4" s="251" t="s">
        <v>671</v>
      </c>
      <c r="B4" s="251"/>
    </row>
    <row r="6" spans="1:2" x14ac:dyDescent="0.35">
      <c r="A6" t="s">
        <v>799</v>
      </c>
      <c r="B6" t="s">
        <v>800</v>
      </c>
    </row>
    <row r="7" spans="1:2" ht="29" x14ac:dyDescent="0.35">
      <c r="A7" t="s">
        <v>801</v>
      </c>
      <c r="B7" s="240" t="s">
        <v>802</v>
      </c>
    </row>
    <row r="8" spans="1:2" x14ac:dyDescent="0.35">
      <c r="A8" t="s">
        <v>803</v>
      </c>
      <c r="B8" s="240" t="s">
        <v>804</v>
      </c>
    </row>
    <row r="9" spans="1:2" ht="72.5" x14ac:dyDescent="0.35">
      <c r="A9" t="s">
        <v>805</v>
      </c>
      <c r="B9" s="240" t="s">
        <v>1026</v>
      </c>
    </row>
    <row r="10" spans="1:2" x14ac:dyDescent="0.35">
      <c r="A10" t="s">
        <v>806</v>
      </c>
      <c r="B10" s="240" t="s">
        <v>807</v>
      </c>
    </row>
    <row r="11" spans="1:2" ht="43.5" x14ac:dyDescent="0.35">
      <c r="A11" t="s">
        <v>808</v>
      </c>
      <c r="B11" s="240" t="s">
        <v>809</v>
      </c>
    </row>
    <row r="12" spans="1:2" ht="43.5" x14ac:dyDescent="0.35">
      <c r="A12" t="s">
        <v>810</v>
      </c>
      <c r="B12" s="240" t="s">
        <v>811</v>
      </c>
    </row>
    <row r="13" spans="1:2" ht="43.5" x14ac:dyDescent="0.35">
      <c r="A13" t="s">
        <v>812</v>
      </c>
      <c r="B13" s="240" t="s">
        <v>813</v>
      </c>
    </row>
    <row r="14" spans="1:2" ht="58" x14ac:dyDescent="0.35">
      <c r="A14" t="s">
        <v>814</v>
      </c>
      <c r="B14" s="240" t="s">
        <v>815</v>
      </c>
    </row>
    <row r="15" spans="1:2" ht="101.5" x14ac:dyDescent="0.35">
      <c r="A15" t="s">
        <v>1027</v>
      </c>
      <c r="B15" s="240" t="s">
        <v>1028</v>
      </c>
    </row>
    <row r="17" spans="1:2" x14ac:dyDescent="0.35">
      <c r="A17" s="252" t="s">
        <v>816</v>
      </c>
      <c r="B17" s="252"/>
    </row>
    <row r="18" spans="1:2" x14ac:dyDescent="0.35">
      <c r="A18" s="368">
        <v>1</v>
      </c>
      <c r="B18" s="240" t="s">
        <v>817</v>
      </c>
    </row>
    <row r="19" spans="1:2" x14ac:dyDescent="0.35">
      <c r="A19" s="368">
        <v>2</v>
      </c>
      <c r="B19" s="240" t="s">
        <v>818</v>
      </c>
    </row>
    <row r="20" spans="1:2" x14ac:dyDescent="0.35">
      <c r="A20" s="368">
        <v>3</v>
      </c>
      <c r="B20" s="240" t="s">
        <v>819</v>
      </c>
    </row>
    <row r="21" spans="1:2" x14ac:dyDescent="0.35">
      <c r="A21" s="368">
        <v>4</v>
      </c>
      <c r="B21" s="240" t="s">
        <v>820</v>
      </c>
    </row>
    <row r="22" spans="1:2" ht="87" x14ac:dyDescent="0.35">
      <c r="A22" s="368">
        <v>5</v>
      </c>
      <c r="B22" s="240" t="s">
        <v>1200</v>
      </c>
    </row>
  </sheetData>
  <mergeCells count="4">
    <mergeCell ref="A1:B1"/>
    <mergeCell ref="A2:B2"/>
    <mergeCell ref="A4:B4"/>
    <mergeCell ref="A17:B17"/>
  </mergeCell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4A3C7-5DC3-4AA5-A53C-C6B57D206438}">
  <sheetPr>
    <tabColor rgb="FF4472C4"/>
  </sheetPr>
  <dimension ref="A1:H22"/>
  <sheetViews>
    <sheetView showGridLines="0" tabSelected="1" topLeftCell="A19" workbookViewId="0">
      <selection activeCell="M44" sqref="M44"/>
    </sheetView>
  </sheetViews>
  <sheetFormatPr defaultRowHeight="14.5" x14ac:dyDescent="0.35"/>
  <cols>
    <col min="1" max="1" width="21.81640625" customWidth="1"/>
    <col min="2" max="2" width="9.08984375" customWidth="1"/>
    <col min="3" max="3" width="12.7265625" customWidth="1"/>
    <col min="4" max="4" width="7.26953125" customWidth="1"/>
    <col min="5" max="5" width="25.453125" customWidth="1"/>
    <col min="6" max="6" width="29.08984375" customWidth="1"/>
    <col min="7" max="7" width="21.81640625" customWidth="1"/>
    <col min="8" max="8" width="29.08984375" customWidth="1"/>
  </cols>
  <sheetData>
    <row r="1" spans="1:8" ht="48" customHeight="1" x14ac:dyDescent="0.55000000000000004">
      <c r="A1" s="328" t="s">
        <v>912</v>
      </c>
      <c r="B1" s="328"/>
      <c r="C1" s="328"/>
      <c r="D1" s="328"/>
      <c r="E1" s="328"/>
      <c r="F1" s="328"/>
      <c r="G1" s="328"/>
      <c r="H1" s="328"/>
    </row>
    <row r="2" spans="1:8" x14ac:dyDescent="0.35">
      <c r="A2" s="329" t="s">
        <v>913</v>
      </c>
      <c r="B2" s="329"/>
      <c r="C2" s="329"/>
      <c r="D2" s="329"/>
      <c r="E2" s="329"/>
      <c r="F2" s="329"/>
      <c r="G2" s="329"/>
      <c r="H2" s="329"/>
    </row>
    <row r="4" spans="1:8" x14ac:dyDescent="0.35">
      <c r="A4" s="330" t="s">
        <v>914</v>
      </c>
      <c r="B4" s="330"/>
      <c r="C4" s="330"/>
      <c r="D4" s="330"/>
      <c r="E4" s="330"/>
      <c r="F4" s="330"/>
      <c r="G4" s="330"/>
      <c r="H4" s="330"/>
    </row>
    <row r="6" spans="1:8" x14ac:dyDescent="0.35">
      <c r="A6" s="331" t="s">
        <v>672</v>
      </c>
      <c r="B6" s="331" t="s">
        <v>915</v>
      </c>
      <c r="C6" s="331" t="s">
        <v>916</v>
      </c>
      <c r="D6" s="331" t="s">
        <v>743</v>
      </c>
      <c r="E6" s="331" t="s">
        <v>700</v>
      </c>
      <c r="F6" s="331" t="s">
        <v>917</v>
      </c>
      <c r="G6" s="331" t="s">
        <v>918</v>
      </c>
      <c r="H6" s="331" t="s">
        <v>919</v>
      </c>
    </row>
    <row r="7" spans="1:8" ht="29" x14ac:dyDescent="0.35">
      <c r="A7" s="332" t="s">
        <v>920</v>
      </c>
      <c r="B7" s="332" t="s">
        <v>921</v>
      </c>
      <c r="C7" s="333">
        <v>119561.5</v>
      </c>
      <c r="D7" s="332" t="s">
        <v>746</v>
      </c>
      <c r="E7" s="334" t="s">
        <v>922</v>
      </c>
      <c r="F7" s="334" t="s">
        <v>923</v>
      </c>
      <c r="G7" s="334" t="s">
        <v>924</v>
      </c>
      <c r="H7" s="334" t="s">
        <v>925</v>
      </c>
    </row>
    <row r="8" spans="1:8" ht="43.5" x14ac:dyDescent="0.35">
      <c r="A8" s="332" t="s">
        <v>920</v>
      </c>
      <c r="B8" s="332" t="s">
        <v>926</v>
      </c>
      <c r="C8" s="333">
        <v>122489.5</v>
      </c>
      <c r="D8" s="332" t="s">
        <v>746</v>
      </c>
      <c r="E8" s="334" t="s">
        <v>927</v>
      </c>
      <c r="F8" s="334" t="s">
        <v>923</v>
      </c>
      <c r="G8" s="334" t="s">
        <v>924</v>
      </c>
      <c r="H8" s="334" t="s">
        <v>928</v>
      </c>
    </row>
    <row r="9" spans="1:8" ht="43.5" x14ac:dyDescent="0.35">
      <c r="A9" s="332" t="s">
        <v>920</v>
      </c>
      <c r="B9" s="332" t="s">
        <v>929</v>
      </c>
      <c r="C9" s="333">
        <v>125939.5</v>
      </c>
      <c r="D9" s="332" t="s">
        <v>746</v>
      </c>
      <c r="E9" s="334" t="s">
        <v>930</v>
      </c>
      <c r="F9" s="334" t="s">
        <v>923</v>
      </c>
      <c r="G9" s="334" t="s">
        <v>924</v>
      </c>
      <c r="H9" s="334" t="s">
        <v>864</v>
      </c>
    </row>
    <row r="10" spans="1:8" ht="29" x14ac:dyDescent="0.35">
      <c r="A10" s="332" t="s">
        <v>931</v>
      </c>
      <c r="B10" s="332" t="s">
        <v>921</v>
      </c>
      <c r="C10" s="333">
        <v>110629.5</v>
      </c>
      <c r="D10" s="332" t="s">
        <v>746</v>
      </c>
      <c r="E10" s="334" t="s">
        <v>922</v>
      </c>
      <c r="F10" s="334" t="s">
        <v>932</v>
      </c>
      <c r="G10" s="334" t="s">
        <v>933</v>
      </c>
      <c r="H10" s="334" t="s">
        <v>925</v>
      </c>
    </row>
    <row r="11" spans="1:8" ht="43.5" x14ac:dyDescent="0.35">
      <c r="A11" s="332" t="s">
        <v>931</v>
      </c>
      <c r="B11" s="332" t="s">
        <v>926</v>
      </c>
      <c r="C11" s="333">
        <v>113102</v>
      </c>
      <c r="D11" s="332" t="s">
        <v>746</v>
      </c>
      <c r="E11" s="334" t="s">
        <v>927</v>
      </c>
      <c r="F11" s="334" t="s">
        <v>932</v>
      </c>
      <c r="G11" s="334" t="s">
        <v>933</v>
      </c>
      <c r="H11" s="334" t="s">
        <v>928</v>
      </c>
    </row>
    <row r="12" spans="1:8" ht="43.5" x14ac:dyDescent="0.35">
      <c r="A12" s="332" t="s">
        <v>931</v>
      </c>
      <c r="B12" s="332" t="s">
        <v>929</v>
      </c>
      <c r="C12" s="333">
        <v>116123</v>
      </c>
      <c r="D12" s="332" t="s">
        <v>746</v>
      </c>
      <c r="E12" s="334" t="s">
        <v>930</v>
      </c>
      <c r="F12" s="334" t="s">
        <v>932</v>
      </c>
      <c r="G12" s="334" t="s">
        <v>933</v>
      </c>
      <c r="H12" s="334" t="s">
        <v>864</v>
      </c>
    </row>
    <row r="13" spans="1:8" ht="29" x14ac:dyDescent="0.35">
      <c r="A13" s="332" t="s">
        <v>934</v>
      </c>
      <c r="B13" s="332" t="s">
        <v>921</v>
      </c>
      <c r="C13" s="333">
        <v>2649096</v>
      </c>
      <c r="D13" s="332" t="s">
        <v>746</v>
      </c>
      <c r="E13" s="334" t="s">
        <v>922</v>
      </c>
      <c r="F13" s="334" t="s">
        <v>935</v>
      </c>
      <c r="G13" s="334" t="s">
        <v>936</v>
      </c>
      <c r="H13" s="334" t="s">
        <v>925</v>
      </c>
    </row>
    <row r="14" spans="1:8" ht="43.5" x14ac:dyDescent="0.35">
      <c r="A14" s="332" t="s">
        <v>934</v>
      </c>
      <c r="B14" s="332" t="s">
        <v>926</v>
      </c>
      <c r="C14" s="333">
        <v>2627623.5</v>
      </c>
      <c r="D14" s="332" t="s">
        <v>746</v>
      </c>
      <c r="E14" s="334" t="s">
        <v>927</v>
      </c>
      <c r="F14" s="334" t="s">
        <v>935</v>
      </c>
      <c r="G14" s="334" t="s">
        <v>936</v>
      </c>
      <c r="H14" s="334" t="s">
        <v>928</v>
      </c>
    </row>
    <row r="15" spans="1:8" ht="43.5" x14ac:dyDescent="0.35">
      <c r="A15" s="332" t="s">
        <v>934</v>
      </c>
      <c r="B15" s="332" t="s">
        <v>929</v>
      </c>
      <c r="C15" s="333">
        <v>2648203.5</v>
      </c>
      <c r="D15" s="332" t="s">
        <v>746</v>
      </c>
      <c r="E15" s="334" t="s">
        <v>930</v>
      </c>
      <c r="F15" s="334" t="s">
        <v>935</v>
      </c>
      <c r="G15" s="334" t="s">
        <v>936</v>
      </c>
      <c r="H15" s="334" t="s">
        <v>864</v>
      </c>
    </row>
    <row r="16" spans="1:8" ht="29" x14ac:dyDescent="0.35">
      <c r="A16" s="332" t="s">
        <v>937</v>
      </c>
      <c r="B16" s="332" t="s">
        <v>921</v>
      </c>
      <c r="C16" s="333">
        <v>1011347.5</v>
      </c>
      <c r="D16" s="332" t="s">
        <v>746</v>
      </c>
      <c r="E16" s="334" t="s">
        <v>922</v>
      </c>
      <c r="F16" s="334" t="s">
        <v>938</v>
      </c>
      <c r="G16" s="334" t="s">
        <v>939</v>
      </c>
      <c r="H16" s="334" t="s">
        <v>925</v>
      </c>
    </row>
    <row r="17" spans="1:8" ht="43.5" x14ac:dyDescent="0.35">
      <c r="A17" s="332" t="s">
        <v>937</v>
      </c>
      <c r="B17" s="332" t="s">
        <v>926</v>
      </c>
      <c r="C17" s="333">
        <v>1047249</v>
      </c>
      <c r="D17" s="332" t="s">
        <v>746</v>
      </c>
      <c r="E17" s="334" t="s">
        <v>927</v>
      </c>
      <c r="F17" s="334" t="s">
        <v>938</v>
      </c>
      <c r="G17" s="334" t="s">
        <v>939</v>
      </c>
      <c r="H17" s="334" t="s">
        <v>928</v>
      </c>
    </row>
    <row r="18" spans="1:8" ht="43.5" x14ac:dyDescent="0.35">
      <c r="A18" s="335" t="s">
        <v>937</v>
      </c>
      <c r="B18" s="335" t="s">
        <v>929</v>
      </c>
      <c r="C18" s="336">
        <v>1102331.5</v>
      </c>
      <c r="D18" s="335" t="s">
        <v>746</v>
      </c>
      <c r="E18" s="337" t="s">
        <v>930</v>
      </c>
      <c r="F18" s="337" t="s">
        <v>938</v>
      </c>
      <c r="G18" s="337" t="s">
        <v>939</v>
      </c>
      <c r="H18" s="337" t="s">
        <v>864</v>
      </c>
    </row>
    <row r="20" spans="1:8" x14ac:dyDescent="0.35">
      <c r="A20" s="330" t="s">
        <v>940</v>
      </c>
      <c r="B20" s="330"/>
      <c r="C20" s="330"/>
      <c r="D20" s="330"/>
      <c r="E20" s="330"/>
      <c r="F20" s="330"/>
      <c r="G20" s="330"/>
      <c r="H20" s="330"/>
    </row>
    <row r="21" spans="1:8" x14ac:dyDescent="0.35">
      <c r="A21" s="290" t="s">
        <v>941</v>
      </c>
      <c r="B21" s="290"/>
      <c r="C21" s="290"/>
      <c r="D21" s="290"/>
      <c r="E21" s="290"/>
      <c r="F21" s="290"/>
      <c r="G21" s="290"/>
      <c r="H21" s="290"/>
    </row>
    <row r="22" spans="1:8" x14ac:dyDescent="0.35">
      <c r="A22" s="290"/>
      <c r="B22" s="290"/>
      <c r="C22" s="290"/>
      <c r="D22" s="290"/>
      <c r="E22" s="290"/>
      <c r="F22" s="290"/>
      <c r="G22" s="290"/>
      <c r="H22" s="290"/>
    </row>
  </sheetData>
  <mergeCells count="5">
    <mergeCell ref="A1:H1"/>
    <mergeCell ref="A2:H2"/>
    <mergeCell ref="A4:H4"/>
    <mergeCell ref="A20:H20"/>
    <mergeCell ref="A21:H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 COVER</vt:lpstr>
      <vt:lpstr>🔎WORKBOOK SHEET MAP</vt:lpstr>
      <vt:lpstr>📊 EXECUTIVE_SUMMARY</vt:lpstr>
      <vt:lpstr>📝 ANALYST_NOTE</vt:lpstr>
      <vt:lpstr>📄 INCOME_STATEMENT</vt:lpstr>
      <vt:lpstr>🏦 BALANCE_SHEET</vt:lpstr>
      <vt:lpstr>💰 CASH_FLOW</vt:lpstr>
      <vt:lpstr>🧮VARIANCE BRIDGE</vt:lpstr>
      <vt:lpstr>📈 RATIOS_PROFITABILITY</vt:lpstr>
      <vt:lpstr>📈 RATIOS_LIQUIDITY</vt:lpstr>
      <vt:lpstr>📈 RATIOS_CAPITAL</vt:lpstr>
      <vt:lpstr>📈 RATIOS_ASSET_QUALITY</vt:lpstr>
      <vt:lpstr>📈 RATIOS_EFFICIENCY</vt:lpstr>
      <vt:lpstr>📉 TRENDS_CHARTS</vt:lpstr>
      <vt:lpstr>💧 WATERFALL_NET_INCOME</vt:lpstr>
      <vt:lpstr>🔗CHART_SOURCE</vt:lpstr>
      <vt:lpstr>🔍 CHECKS</vt:lpstr>
      <vt:lpstr>SOURCE_REGISTER</vt:lpstr>
      <vt:lpstr>IFRS17_RESTATEMENT_NOTE</vt:lpstr>
      <vt:lpstr>RATIO_DICTIONARY</vt:lpstr>
      <vt:lpstr>DATA_DICTIONARY</vt:lpstr>
      <vt:lpstr>BENCHMARKS</vt:lpstr>
      <vt:lpstr>WORKBOOK_METHODOLOGY</vt:lpstr>
      <vt:lpstr>ANALYTICAL_INPUTS</vt:lpstr>
      <vt:lpstr>'📝 ANALYST_NOTE'!Print_Area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Lorna</dc:creator>
  <cp:lastModifiedBy>Joy Lorna</cp:lastModifiedBy>
  <dcterms:created xsi:type="dcterms:W3CDTF">2026-06-16T12:43:52Z</dcterms:created>
  <dcterms:modified xsi:type="dcterms:W3CDTF">2026-08-27T11:52:34Z</dcterms:modified>
</cp:coreProperties>
</file>